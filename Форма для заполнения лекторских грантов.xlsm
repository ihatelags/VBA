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G:\Projects\Grants\Шаблон для формирования документов на лекторский грант\"/>
    </mc:Choice>
  </mc:AlternateContent>
  <bookViews>
    <workbookView xWindow="0" yWindow="0" windowWidth="20490" windowHeight="6600" activeTab="1"/>
  </bookViews>
  <sheets>
    <sheet name="Инструкция" sheetId="5" r:id="rId1"/>
    <sheet name="Форма" sheetId="1" r:id="rId2"/>
    <sheet name="Templates" sheetId="6" state="hidden" r:id="rId3"/>
    <sheet name="Лекторы" sheetId="3" state="hidden" r:id="rId4"/>
    <sheet name="Выпадающие списки" sheetId="2" state="hidden" r:id="rId5"/>
  </sheets>
  <functionGroups builtInGroupCount="18"/>
  <externalReferences>
    <externalReference r:id="rId6"/>
  </externalReferences>
  <definedNames>
    <definedName name="address">Форма!$F$41</definedName>
    <definedName name="bank">Форма!$F$44</definedName>
    <definedName name="conference1">Форма!$E$6</definedName>
    <definedName name="conference10">Форма!$E$24</definedName>
    <definedName name="conference2">Форма!$E$8</definedName>
    <definedName name="conference3">Форма!$E$10</definedName>
    <definedName name="conference4">Форма!$E$12</definedName>
    <definedName name="conference5">Форма!$E$14</definedName>
    <definedName name="conference6">Форма!$E$16</definedName>
    <definedName name="conference7">Форма!$E$18</definedName>
    <definedName name="conference8">Форма!$E$20</definedName>
    <definedName name="conference9">Форма!$E$22</definedName>
    <definedName name="contact_address">Форма!$H$28</definedName>
    <definedName name="contact_name">Форма!$F$27</definedName>
    <definedName name="contact_title">Форма!$F$28</definedName>
    <definedName name="employer">Форма!$F$35</definedName>
    <definedName name="ExternalData_1" localSheetId="3" hidden="1">Лекторы!$A$1:$W$314</definedName>
    <definedName name="Grade" localSheetId="0">[1]Форма!$F$33</definedName>
    <definedName name="Grade">Форма!$F$33</definedName>
    <definedName name="initials">Форма!$F$32</definedName>
    <definedName name="issued">Форма!$F$37</definedName>
    <definedName name="Lecturers_names" localSheetId="0">[1]Лекторы!$B$2:INDEX([1]Лекторы!$B$2:$B$1500,SUMPRODUCT(--([1]Лекторы!$B$2:$B$1500&lt;&gt;"")))</definedName>
    <definedName name="Lecturers_names">Лекторы!$B$2:INDEX(Лекторы!$B$2:$B$1503,SUMPRODUCT(--(Лекторы!$B$2:$B$1503&lt;&gt;"")))</definedName>
    <definedName name="name">Форма!$F$31</definedName>
    <definedName name="Rate">Форма!$D$91:$D$95</definedName>
    <definedName name="service">Форма!$E$79:$E$88</definedName>
    <definedName name="service_audience1">Форма!$H$6</definedName>
    <definedName name="service_audience10">Форма!$H$24</definedName>
    <definedName name="service_audience2">Форма!$H$8</definedName>
    <definedName name="service_audience3">Форма!$H$10</definedName>
    <definedName name="service_audience4">Форма!$H$12</definedName>
    <definedName name="service_audience5">Форма!$H$14</definedName>
    <definedName name="service_audience6">Форма!$H$16</definedName>
    <definedName name="service_audience7">Форма!$H$18</definedName>
    <definedName name="service_audience8">Форма!$H$20</definedName>
    <definedName name="service_audience9">Форма!$H$22</definedName>
    <definedName name="service_date1">Форма!$C$5</definedName>
    <definedName name="service_location1">Форма!$G$6</definedName>
    <definedName name="service_location10">Форма!$G$24</definedName>
    <definedName name="service_location2">Форма!$G$8</definedName>
    <definedName name="service_location3">Форма!$G$10</definedName>
    <definedName name="service_location4">Форма!$G$12</definedName>
    <definedName name="service_location5">Форма!$G$14</definedName>
    <definedName name="service_location6">Форма!$G$16</definedName>
    <definedName name="service_location7">Форма!$G$18</definedName>
    <definedName name="service_location8">Форма!$G$20</definedName>
    <definedName name="service_location9">Форма!$G$22</definedName>
    <definedName name="service_result1">Форма!$I$6</definedName>
    <definedName name="service_result10">Форма!$I$24</definedName>
    <definedName name="service_result2">Форма!$I$8</definedName>
    <definedName name="service_result3">Форма!$I$10</definedName>
    <definedName name="service_result4">Форма!$I$12</definedName>
    <definedName name="service_result5">Форма!$I$14</definedName>
    <definedName name="service_result6">Форма!$I$16</definedName>
    <definedName name="service_result7">Форма!$I$18</definedName>
    <definedName name="service_result8">Форма!$I$20</definedName>
    <definedName name="service_result9">Форма!$I$22</definedName>
    <definedName name="service_topic1">Форма!$F$6</definedName>
    <definedName name="service_topic10">Форма!$F$24</definedName>
    <definedName name="service_topic2">Форма!$F$8</definedName>
    <definedName name="service_topic3">Форма!$F$10</definedName>
    <definedName name="service_topic4">Форма!$F$12</definedName>
    <definedName name="service_topic5">Форма!$F$14</definedName>
    <definedName name="service_topic6">Форма!$F$16</definedName>
    <definedName name="service_topic7">Форма!$F$18</definedName>
    <definedName name="service_topic8">Форма!$F$20</definedName>
    <definedName name="service_topic9">Форма!$F$22</definedName>
    <definedName name="service_type1">Форма!$D$6</definedName>
    <definedName name="service_type10">Форма!$D$24</definedName>
    <definedName name="service_type2">Форма!$D$8</definedName>
    <definedName name="service_type3">Форма!$D$10</definedName>
    <definedName name="service_type4">Форма!$D$12</definedName>
    <definedName name="service_type5">Форма!$D$14</definedName>
    <definedName name="service_type6">Форма!$D$16</definedName>
    <definedName name="service_type7">Форма!$D$18</definedName>
    <definedName name="service_type8">Форма!$D$20</definedName>
    <definedName name="service_type9">Форма!$D$22</definedName>
    <definedName name="title">Форма!$F$34</definedName>
    <definedName name="адрес">Форма!$E$41</definedName>
    <definedName name="адрес_контакта">Форма!$H$27</definedName>
    <definedName name="Аудитория">'Выпадающие списки'!$A$21:$A$27</definedName>
    <definedName name="аудитория_услуг1">Форма!$H$5</definedName>
    <definedName name="аудитория_услуг10">Форма!$H$23</definedName>
    <definedName name="аудитория_услуг2">Форма!$H$7</definedName>
    <definedName name="аудитория_услуг3">Форма!$H$9</definedName>
    <definedName name="аудитория_услуг4">Форма!$H$11</definedName>
    <definedName name="аудитория_услуг5">Форма!$H$13</definedName>
    <definedName name="аудитория_услуг6">Форма!$H$15</definedName>
    <definedName name="аудитория_услуг7">Форма!$H$17</definedName>
    <definedName name="аудитория_услуг8">Форма!$H$19</definedName>
    <definedName name="аудитория_услуг9">Форма!$H$21</definedName>
    <definedName name="банк">Форма!$E$44</definedName>
    <definedName name="бик">Форма!$E$46</definedName>
    <definedName name="выдан">Форма!$E$37</definedName>
    <definedName name="дата_услуг1">Форма!$C$5</definedName>
    <definedName name="дата_услуг10">Форма!$C$23</definedName>
    <definedName name="дата_услуг2">Форма!$C$7</definedName>
    <definedName name="дата_услуг3">Форма!$C$9</definedName>
    <definedName name="дата_услуг4">Форма!$C$11</definedName>
    <definedName name="дата_услуг5">Форма!$C$13</definedName>
    <definedName name="дата_услуг6">Форма!$C$15</definedName>
    <definedName name="дата_услуг7">Форма!$C$17</definedName>
    <definedName name="дата_услуг8">Форма!$C$19</definedName>
    <definedName name="дата_услуг9">Форма!$C$21</definedName>
    <definedName name="должность">Форма!$E$34</definedName>
    <definedName name="должность_контакта">Форма!$E$28</definedName>
    <definedName name="инн">Форма!$E$39</definedName>
    <definedName name="калькуляция">Форма!$H$3</definedName>
    <definedName name="колво1">Форма!$K$5</definedName>
    <definedName name="колво10">Форма!$K$23</definedName>
    <definedName name="колво2">Форма!$K$7</definedName>
    <definedName name="колво3">Форма!$K$9</definedName>
    <definedName name="колво4">Форма!$K$11</definedName>
    <definedName name="колво5">Форма!$K$13</definedName>
    <definedName name="колво6">Форма!$K$15</definedName>
    <definedName name="колво7">Форма!$K$17</definedName>
    <definedName name="колво8">Форма!$K$19</definedName>
    <definedName name="колво9">Форма!$K$21</definedName>
    <definedName name="конференция1">Форма!$E$5</definedName>
    <definedName name="конференция10">Форма!$E$23</definedName>
    <definedName name="конференция2">Форма!$E$7</definedName>
    <definedName name="конференция3">Форма!$E$9</definedName>
    <definedName name="конференция4">Форма!$E$11</definedName>
    <definedName name="конференция5">Форма!$E$13</definedName>
    <definedName name="конференция6">Форма!$E$15</definedName>
    <definedName name="конференция7">Форма!$E$17</definedName>
    <definedName name="конференция8">Форма!$E$19</definedName>
    <definedName name="конференция9">Форма!$E$21</definedName>
    <definedName name="ксчет">Форма!$E$45</definedName>
    <definedName name="место_работы">Форма!$E$35</definedName>
    <definedName name="место_услуг1">Форма!$G$5</definedName>
    <definedName name="место_услуг10">Форма!$G$23</definedName>
    <definedName name="место_услуг2">Форма!$G$7</definedName>
    <definedName name="место_услуг3">Форма!$G$9</definedName>
    <definedName name="место_услуг4">Форма!$G$11</definedName>
    <definedName name="место_услуг5">Форма!$G$13</definedName>
    <definedName name="место_услуг6">Форма!$G$15</definedName>
    <definedName name="место_услуг7">Форма!$G$17</definedName>
    <definedName name="место_услуг8">Форма!$G$19</definedName>
    <definedName name="место_услуг9">Форма!$G$21</definedName>
    <definedName name="паспорт">Форма!$E$36</definedName>
    <definedName name="паспорт_дата">Форма!$E$38</definedName>
    <definedName name="результат_услуг1">Форма!$I$5</definedName>
    <definedName name="результат_услуг10">Форма!$I$23</definedName>
    <definedName name="результат_услуг2">Форма!$I$7</definedName>
    <definedName name="результат_услуг3">Форма!$I$9</definedName>
    <definedName name="результат_услуг4">Форма!$I$11</definedName>
    <definedName name="результат_услуг5">Форма!$I$13</definedName>
    <definedName name="результат_услуг6">Форма!$I$15</definedName>
    <definedName name="результат_услуг7">Форма!$I$17</definedName>
    <definedName name="результат_услуг8">Форма!$I$19</definedName>
    <definedName name="результат_услуг9">Форма!$I$21</definedName>
    <definedName name="результаты_услуг">'Выпадающие списки'!$H$12:$I$18</definedName>
    <definedName name="снилс">Форма!$E$40</definedName>
    <definedName name="событие">Форма!$D$6</definedName>
    <definedName name="ставка1" localSheetId="0">[1]Форма!$J$5</definedName>
    <definedName name="ставка1">Форма!$J$5</definedName>
    <definedName name="ставка10" localSheetId="0">[1]Форма!$J$23</definedName>
    <definedName name="ставка10">Форма!$J$23</definedName>
    <definedName name="ставка2" localSheetId="0">[1]Форма!$J$7</definedName>
    <definedName name="ставка2">Форма!$J$7</definedName>
    <definedName name="ставка3" localSheetId="0">[1]Форма!$J$9</definedName>
    <definedName name="ставка3">Форма!$J$9</definedName>
    <definedName name="ставка4" localSheetId="0">[1]Форма!$J$11</definedName>
    <definedName name="ставка4">Форма!$J$11</definedName>
    <definedName name="ставка5" localSheetId="0">[1]Форма!$J$13</definedName>
    <definedName name="ставка5">Форма!$J$13</definedName>
    <definedName name="ставка6" localSheetId="0">[1]Форма!$J$15</definedName>
    <definedName name="ставка6">Форма!$J$15</definedName>
    <definedName name="ставка7" localSheetId="0">[1]Форма!$J$17</definedName>
    <definedName name="ставка7">Форма!$J$17</definedName>
    <definedName name="ставка8" localSheetId="0">[1]Форма!$J$19</definedName>
    <definedName name="ставка8">Форма!$J$19</definedName>
    <definedName name="ставка9" localSheetId="0">[1]Форма!$J$21</definedName>
    <definedName name="ставка9">Форма!$J$21</definedName>
    <definedName name="сумма">Форма!$J$25</definedName>
    <definedName name="счет">Форма!$E$43</definedName>
    <definedName name="телефон">Форма!$E$42</definedName>
    <definedName name="телефон_контакта">Форма!$G$27</definedName>
    <definedName name="тема_услуг1">Форма!$F$5</definedName>
    <definedName name="тема_услуг10">Форма!$F$23</definedName>
    <definedName name="тема_услуг2">Форма!$F$7</definedName>
    <definedName name="тема_услуг3">Форма!$F$9</definedName>
    <definedName name="тема_услуг4">Форма!$F$11</definedName>
    <definedName name="тема_услуг5">Форма!$F$13</definedName>
    <definedName name="тема_услуг6">Форма!$F$15</definedName>
    <definedName name="тема_услуг7">Форма!$F$17</definedName>
    <definedName name="тема_услуг8">Форма!$F$19</definedName>
    <definedName name="тема_услуг9">Форма!$F$21</definedName>
    <definedName name="тип_услуг1" localSheetId="0">[1]Форма!$D$5</definedName>
    <definedName name="тип_услуг1">Форма!$D$5</definedName>
    <definedName name="тип_услуг10" localSheetId="0">[1]Форма!$D$23</definedName>
    <definedName name="тип_услуг10">Форма!$D$23</definedName>
    <definedName name="тип_услуг2" localSheetId="0">[1]Форма!$D$7</definedName>
    <definedName name="тип_услуг2">Форма!$D$7</definedName>
    <definedName name="тип_услуг3" localSheetId="0">[1]Форма!$D$9</definedName>
    <definedName name="тип_услуг3">Форма!$D$9</definedName>
    <definedName name="тип_услуг4" localSheetId="0">[1]Форма!$D$11</definedName>
    <definedName name="тип_услуг4">Форма!$D$11</definedName>
    <definedName name="тип_услуг5" localSheetId="0">[1]Форма!$D$13</definedName>
    <definedName name="тип_услуг5">Форма!$D$13</definedName>
    <definedName name="тип_услуг6" localSheetId="0">[1]Форма!$D$15</definedName>
    <definedName name="тип_услуг6">Форма!$D$15</definedName>
    <definedName name="тип_услуг7" localSheetId="0">[1]Форма!$D$17</definedName>
    <definedName name="тип_услуг7">Форма!$D$17</definedName>
    <definedName name="тип_услуг8" localSheetId="0">[1]Форма!$D$19</definedName>
    <definedName name="тип_услуг8">Форма!$D$19</definedName>
    <definedName name="тип_услуг9" localSheetId="0">[1]Форма!$D$21</definedName>
    <definedName name="тип_услуг9">Форма!$D$21</definedName>
    <definedName name="Услуга">Форма!$D$78:$D$88</definedName>
    <definedName name="Услуги" localSheetId="0">'[1]Выпадающие списки'!$A$3:$A$17</definedName>
    <definedName name="Услуги">'Выпадающие списки'!$A$3:$A$17</definedName>
    <definedName name="финиц">Форма!$E$32</definedName>
    <definedName name="ФИО">Форма!$E$31</definedName>
    <definedName name="фио_контакта">Форма!$E$27</definedName>
  </definedNames>
  <calcPr calcId="171027" calcMode="manual"/>
</workbook>
</file>

<file path=xl/calcChain.xml><?xml version="1.0" encoding="utf-8"?>
<calcChain xmlns="http://schemas.openxmlformats.org/spreadsheetml/2006/main">
  <c r="H6" i="1" l="1"/>
  <c r="I7" i="1" l="1"/>
  <c r="I24" i="1"/>
  <c r="I23" i="1"/>
  <c r="I22" i="1"/>
  <c r="I21" i="1"/>
  <c r="I20" i="1"/>
  <c r="I19" i="1"/>
  <c r="I18" i="1"/>
  <c r="I17" i="1"/>
  <c r="I16" i="1"/>
  <c r="I15" i="1"/>
  <c r="I14" i="1"/>
  <c r="I13" i="1"/>
  <c r="I12" i="1"/>
  <c r="I11" i="1"/>
  <c r="I10" i="1"/>
  <c r="I9" i="1"/>
  <c r="I8" i="1"/>
  <c r="I6" i="1"/>
  <c r="I5" i="1"/>
  <c r="D6" i="1" l="1"/>
  <c r="D24" i="1" l="1"/>
  <c r="D22" i="1"/>
  <c r="D20" i="1"/>
  <c r="D16" i="1"/>
  <c r="D14" i="1"/>
  <c r="D12" i="1"/>
  <c r="D10" i="1"/>
  <c r="H24" i="1" l="1"/>
  <c r="H22" i="1"/>
  <c r="H20" i="1"/>
  <c r="H18" i="1"/>
  <c r="H16" i="1"/>
  <c r="H14" i="1"/>
  <c r="H12" i="1"/>
  <c r="H10" i="1"/>
  <c r="H8" i="1"/>
  <c r="D8" i="1" l="1"/>
  <c r="F44" i="1" l="1"/>
  <c r="F41" i="1" l="1"/>
  <c r="F37" i="1"/>
  <c r="E38" i="1"/>
  <c r="E45" i="1" l="1"/>
  <c r="E43" i="1"/>
  <c r="E44" i="1"/>
  <c r="E46" i="1"/>
  <c r="E42" i="1"/>
  <c r="E41" i="1"/>
  <c r="E40" i="1"/>
  <c r="E39" i="1"/>
  <c r="E37" i="1"/>
  <c r="E36" i="1"/>
  <c r="F35" i="1"/>
  <c r="E35" i="1"/>
  <c r="F34" i="1"/>
  <c r="E34" i="1"/>
  <c r="F33" i="1"/>
  <c r="J5" i="1" s="1"/>
  <c r="E33" i="1"/>
  <c r="E31" i="1"/>
  <c r="J9" i="1" l="1"/>
  <c r="J7" i="1"/>
  <c r="J17" i="1"/>
  <c r="J11" i="1"/>
  <c r="J19" i="1"/>
  <c r="J13" i="1"/>
  <c r="J21" i="1"/>
  <c r="J15" i="1"/>
  <c r="J23" i="1"/>
  <c r="F31" i="1"/>
  <c r="F32" i="1" s="1"/>
  <c r="E32" i="1"/>
  <c r="J25" i="1" l="1"/>
  <c r="D18" i="1"/>
  <c r="H3" i="1" l="1"/>
</calcChain>
</file>

<file path=xl/comments1.xml><?xml version="1.0" encoding="utf-8"?>
<comments xmlns="http://schemas.openxmlformats.org/spreadsheetml/2006/main">
  <authors>
    <author>Anton Konkov</author>
  </authors>
  <commentList>
    <comment ref="A14" authorId="0" shapeId="0">
      <text>
        <r>
          <rPr>
            <b/>
            <sz val="9"/>
            <color indexed="81"/>
            <rFont val="Tahoma"/>
            <family val="2"/>
            <charset val="204"/>
          </rPr>
          <t>Anton Konkov:</t>
        </r>
        <r>
          <rPr>
            <sz val="9"/>
            <color indexed="81"/>
            <rFont val="Tahoma"/>
            <family val="2"/>
            <charset val="204"/>
          </rPr>
          <t xml:space="preserve">
Без аудитории и без места</t>
        </r>
      </text>
    </comment>
  </commentList>
</comments>
</file>

<file path=xl/connections.xml><?xml version="1.0" encoding="utf-8"?>
<connections xmlns="http://schemas.openxmlformats.org/spreadsheetml/2006/main">
  <connection id="1" keepAlive="1" name="Query - Lecturers" description="Connection to the 'Lecturers' query in the workbook." type="5" refreshedVersion="6" background="1" refreshOnLoad="1" saveData="1">
    <dbPr connection="Provider=Microsoft.Mashup.OleDb.1;Data Source=$Workbook$;Location=Lecturers;Extended Properties=&quot;&quot;" command="SELECT * FROM [Lecturers]"/>
  </connection>
</connections>
</file>

<file path=xl/sharedStrings.xml><?xml version="1.0" encoding="utf-8"?>
<sst xmlns="http://schemas.openxmlformats.org/spreadsheetml/2006/main" count="5779" uniqueCount="4319">
  <si>
    <t>ФИО</t>
  </si>
  <si>
    <t>№ документа (паспорта)</t>
  </si>
  <si>
    <t>Номер ИНН (если имеется)</t>
  </si>
  <si>
    <t>Адрес регистрации</t>
  </si>
  <si>
    <t>Номер(а) телефона</t>
  </si>
  <si>
    <t>Контактное лицо в «Бакстер»</t>
  </si>
  <si>
    <t>Должность в «Бакстер»</t>
  </si>
  <si>
    <t>Дата услуги</t>
  </si>
  <si>
    <t>БИК</t>
  </si>
  <si>
    <t>Bank</t>
  </si>
  <si>
    <t>№</t>
  </si>
  <si>
    <t xml:space="preserve"> </t>
  </si>
  <si>
    <t>Address</t>
  </si>
  <si>
    <t>Номер СНИЛС</t>
  </si>
  <si>
    <t>Auditory/Аудитория для услуги(если применимо)</t>
  </si>
  <si>
    <t>участие в сессии вопросов и ответов в рамках вышеуказанного Симпозиума;</t>
  </si>
  <si>
    <t>preparing and presenting of a scientific presentation “[please specify topic of the presentation]” at Baxter’ satellite symposium which shall take place on [please specify the date] at [please specify the address] in scope of [please specify the event] (hereinafter – the «Symposium»)</t>
  </si>
  <si>
    <t>presenting of Baxter’s standard scientific presentation “[please specify topic of the presentation]” using personal unique practical experience at Baxter’ satellite symposium which shall take place on [please specify the date] at [please specify the address] in scope of [please specify the event] (hereinafter – the “Symposium”)</t>
  </si>
  <si>
    <t>participation in a Q&amp;A session in scope of abovementioned Sympoisium</t>
  </si>
  <si>
    <t xml:space="preserve">
chairmanship on the abovementioned Symposium, execution of functions of moderator
</t>
  </si>
  <si>
    <t>председательствование на вышеуказанном Симпозиуме, осуществление функции модератора</t>
  </si>
  <si>
    <t>подготовка и представление научной презентации по теме «[указать тему Презентации]» в рамках [указать наименование Мероприятия], проводимого [указать дату] по адресу [указать адрес проведения Мероприятия]</t>
  </si>
  <si>
    <t>участие в сессии вопросов и ответов в рамках постерной сессии по теме «[указать тему постерной сессии]», проводимой [указать дату] в рамках [указать название Мероприятия] по адресу: [указать адрес]</t>
  </si>
  <si>
    <t xml:space="preserve">
preparing and presenting of a scientific presentation “[please specify topic of the presentation]” in scope of [please specify the event] which shall take place on [please specify the date] at [please specify the address] 
presenting of Baxter’s standard scientific presentation “[please specify topic of the presentation]” using personal unique practical experience in scope of [please specify the event] which shall take place on [please specify the date] at [please specify the address] 
</t>
  </si>
  <si>
    <t>participation in Q&amp;A session during a poster session with a topic of “[please specify the topic”], which shall take place on [please specify the date] at [please specify the address] in scope of [please specify the event]</t>
  </si>
  <si>
    <t>подготовка обзора научных данных (публикаций, локального опыта и т.д.) по теме «[указать тему обзора, который впоследствии будет использован в приложениях, вебсайтах или модулях для обучения]»</t>
  </si>
  <si>
    <t>preparing an overview of scientific data (publications, local experience etc.) on the following topic: “[please specify the topic of an overview]”</t>
  </si>
  <si>
    <t>представление работникам здравоохранения собственного клинического опыта по работе с [указать недостающую информацию] в рамках мастер-класса «[указать тему мастер-класса]», проводимого  [указать дату] по адресу: [указать адрес]</t>
  </si>
  <si>
    <t>presenting to healthcare professionals of personal clinic experience related to work with [please specify the details] during a master-class “[specify the topic]” which shall take place on [please specify the date] at [please specify the address]</t>
  </si>
  <si>
    <t>подготовка научной монографии по теме «[указать тему монографии]»</t>
  </si>
  <si>
    <t>preparing a scientific monograph with a following topic “[please specify the topic]”</t>
  </si>
  <si>
    <t>participation in an advisory board for discussion of range of therapeutic questions with a following topic: “[please specify the topic]”, which shall take place [please specify the date] at [please specify the address], the results of which will be used by Baxter for preparation of scientific report (resolution) on questions related to defined diseases and methods of therapy</t>
  </si>
  <si>
    <t xml:space="preserve">участие в Экспертном совете [научном круглом столе] для обсуждения ряда терапевтических вопросов по теме: [указать тему], проводимом [указать дату] по следующему адресу [указать адрес] </t>
  </si>
  <si>
    <t>результаты которого будут использованы Бакстер при подготовке научного заключения [резолюции] по вопросам заболеваний и способам их лечения</t>
  </si>
  <si>
    <t>представление стандартной научной презентации Бакстер по теме «[указать тему Презентации]» с использованием собственного уникального практического опыта на сателлитном симпозиуме Бакстер</t>
  </si>
  <si>
    <t xml:space="preserve"> , проводимом [указать дату] в рамках [указать наименование Мероприятия] по адресу [указать адрес проведения Мероприятия] (далее – «Симпозиум»)</t>
  </si>
  <si>
    <t xml:space="preserve">подготовка и представление авторской научной презентации по теме «[указать тему Презентации]» на сателлитном симпозиуме Бакстер, проводимом [указать дату] в рамках [указать наименование Мероприятия] по адресу [указать адрес проведения Мероприятия] </t>
  </si>
  <si>
    <t xml:space="preserve"> (далее – «Симпозиум») </t>
  </si>
  <si>
    <t>Выдан, кем и когда</t>
  </si>
  <si>
    <t>GRADE</t>
  </si>
  <si>
    <t>ДОЛЖНОСТЬ лектора</t>
  </si>
  <si>
    <t>МЕСТО РАБОТЫ лектора</t>
  </si>
  <si>
    <t>Гарбузов Евгений Юльевич</t>
  </si>
  <si>
    <t>Кузнецов Сергей Владимирович</t>
  </si>
  <si>
    <t>Любошевский Павел Александрович</t>
  </si>
  <si>
    <t>Зайнулина Марина Сабировна</t>
  </si>
  <si>
    <t>Толкачев Олег Вячеславович</t>
  </si>
  <si>
    <t>Качалова Елена Георгиевна</t>
  </si>
  <si>
    <t>Свиридов Сергей Викторович</t>
  </si>
  <si>
    <t>Шеина Ирина Александровна</t>
  </si>
  <si>
    <t>Башарова Елена Валерьевна</t>
  </si>
  <si>
    <t>Волкова Светлана Александровна</t>
  </si>
  <si>
    <t>Евзерова Татьяна Вячеславовна</t>
  </si>
  <si>
    <t>Ройтман Евгений Витальевич</t>
  </si>
  <si>
    <t>Грицай Людмила Николаевна</t>
  </si>
  <si>
    <t>Бражников Анатолий Юрьевич</t>
  </si>
  <si>
    <t>Попова Наталия Александровна</t>
  </si>
  <si>
    <t>Жарков Павел Александрович</t>
  </si>
  <si>
    <t>Мешаков Дмитрий Петрович</t>
  </si>
  <si>
    <t>Макаров Андрей Анатольевич</t>
  </si>
  <si>
    <t>Левит Дмитрий Александрович</t>
  </si>
  <si>
    <t>Бельский Владислав Александрович</t>
  </si>
  <si>
    <t>Кабанцева Татьяна Анатольевна</t>
  </si>
  <si>
    <t>Шестопалов Александр Ефимович</t>
  </si>
  <si>
    <t>Костылева Татьяна Геннадьевна</t>
  </si>
  <si>
    <t>Свирин Павел Вячеславович</t>
  </si>
  <si>
    <t>Вдовин Владимир Викторович</t>
  </si>
  <si>
    <t>Ломиворотов Владимир Владимирович</t>
  </si>
  <si>
    <t>Бережанский Борис Витальевич</t>
  </si>
  <si>
    <t>Сытов Александр Викторович</t>
  </si>
  <si>
    <t>Селютин Александр Алексеевич</t>
  </si>
  <si>
    <t>Прелоус Ирина Николаевна</t>
  </si>
  <si>
    <t>Ямгуров Дмитрий Рифгатович</t>
  </si>
  <si>
    <t>Асланян Карапет Суренович</t>
  </si>
  <si>
    <t>Скобин Владимир Борисович</t>
  </si>
  <si>
    <t>Петрова Марина Владимировна</t>
  </si>
  <si>
    <t>Папаян Людмила Петровна</t>
  </si>
  <si>
    <t>Голощапов Олег Валерьевич</t>
  </si>
  <si>
    <t>Слепушкин Виталий Дмитриевич</t>
  </si>
  <si>
    <t>Хабаров Виктор Александрович</t>
  </si>
  <si>
    <t>Фишер Василий Владимирович</t>
  </si>
  <si>
    <t>Герасимчук Роман Павлович</t>
  </si>
  <si>
    <t>Ястребов Михаил Александрович</t>
  </si>
  <si>
    <t>Булиева Наталья Борисовна</t>
  </si>
  <si>
    <t>Плотников Георгий Павлович</t>
  </si>
  <si>
    <t>Мишина Елена Анатольевна</t>
  </si>
  <si>
    <t>Шелудько Кирилл Федорович</t>
  </si>
  <si>
    <t>Мирошниченко Ольга Михайловна</t>
  </si>
  <si>
    <t>Климова Нина Ивановна</t>
  </si>
  <si>
    <t>Рыскаль Ольга Владимировна</t>
  </si>
  <si>
    <t>Кучин Антон Александрович</t>
  </si>
  <si>
    <t>Голосов Юрий Михайлович</t>
  </si>
  <si>
    <t>Копылов Константин Геннадьевич</t>
  </si>
  <si>
    <t>Смелянская Мария Геннадьевна</t>
  </si>
  <si>
    <t>Сухов Владимир Александрович</t>
  </si>
  <si>
    <t>Лавриченко Инна Анатольевна</t>
  </si>
  <si>
    <t>Маркова Инна Викторовна</t>
  </si>
  <si>
    <t>Рубинчик Вадим Ефимович</t>
  </si>
  <si>
    <t>Мкртумян Наира Левоновна</t>
  </si>
  <si>
    <t>Шамрай Владимир Степанович</t>
  </si>
  <si>
    <t>Дударь Марина Михайловна</t>
  </si>
  <si>
    <t>Сурьянинова Ольга Васильевна</t>
  </si>
  <si>
    <t>Лапин Валерий Альбертович</t>
  </si>
  <si>
    <t>Лебедева Ольга Леонидовна</t>
  </si>
  <si>
    <t>Кулигин Александр Валерьевич</t>
  </si>
  <si>
    <t>Демин Петр Михайлович</t>
  </si>
  <si>
    <t>Бабаянц Андрей Валерьевич</t>
  </si>
  <si>
    <t>Агеенко Александр Михайлович</t>
  </si>
  <si>
    <t>Блинкова Любовь Николаевна</t>
  </si>
  <si>
    <t>Ежевская Анна Александровна</t>
  </si>
  <si>
    <t>Евстратов Алексей Андреевич</t>
  </si>
  <si>
    <t>Судаков Анатолий Георгиевич</t>
  </si>
  <si>
    <t>Мустафина Гульзада Нургаязовна</t>
  </si>
  <si>
    <t>Костюченко Людмила Николаевна</t>
  </si>
  <si>
    <t>Сафуанова Гузяль Шагбановна</t>
  </si>
  <si>
    <t>Зефирова Татьяна Петровна</t>
  </si>
  <si>
    <t>Суслов Владимир Прокопьевич</t>
  </si>
  <si>
    <t>Замятин Михаил Николаевич</t>
  </si>
  <si>
    <t>Гусаров Виталий Геннадьевич</t>
  </si>
  <si>
    <t>Исаков Александр Владимирович</t>
  </si>
  <si>
    <t>Константинова Валерия Николаевна</t>
  </si>
  <si>
    <t>Ватазин Андрей Владимирович</t>
  </si>
  <si>
    <t>Губайдуллин Ренат Рамилевич</t>
  </si>
  <si>
    <t>Бгане Нальбий Меджидович</t>
  </si>
  <si>
    <t>Ветчинникова Ольга Николаевна</t>
  </si>
  <si>
    <t>Золотухин Константин Николаевич</t>
  </si>
  <si>
    <t>Каримов Асхат Исмагилович</t>
  </si>
  <si>
    <t>Лобко Константин Николаевич</t>
  </si>
  <si>
    <t>Герасименко Оксана Николаевна</t>
  </si>
  <si>
    <t>Субботин Валерий Вячеславович</t>
  </si>
  <si>
    <t>Яворовский Андрей Георгиевич</t>
  </si>
  <si>
    <t>Давыдкин Игорь Леонидович</t>
  </si>
  <si>
    <t>Кобиясов Владимир Аркадьевич</t>
  </si>
  <si>
    <t>Ватутин Сергей Николаевич</t>
  </si>
  <si>
    <t>Гайдук Ирина Федоровна</t>
  </si>
  <si>
    <t>Рязанова Оксана Владимировна</t>
  </si>
  <si>
    <t>Тверитнев Павел Михайлович</t>
  </si>
  <si>
    <t>Гороховский Вадим Семенович</t>
  </si>
  <si>
    <t>Гаврилова Елена Геннадьевна</t>
  </si>
  <si>
    <t>Солдатенков Виталий Евгеньевич</t>
  </si>
  <si>
    <t>Бобовник Сергей Викторович</t>
  </si>
  <si>
    <t>Кощеева Наталья Александровна</t>
  </si>
  <si>
    <t>Фисун Алексей Михайлович</t>
  </si>
  <si>
    <t>Александрович Юрий Станиславович</t>
  </si>
  <si>
    <t>Сычева Татьяна Михайловна</t>
  </si>
  <si>
    <t>Ситкин Сергей Иванович</t>
  </si>
  <si>
    <t>Кумскова Мария Алексеевна</t>
  </si>
  <si>
    <t>Попугаев Константин Александрович</t>
  </si>
  <si>
    <t>Вартанов Владимир Яковлевич</t>
  </si>
  <si>
    <t>Гуреев Антон Дмитриевич</t>
  </si>
  <si>
    <t>Минкина Людмила Михайловна</t>
  </si>
  <si>
    <t>Проценко Денис Николаевич</t>
  </si>
  <si>
    <t>Шавкин Алексей Львович</t>
  </si>
  <si>
    <t>Езерский Дмитрий Валерьевич</t>
  </si>
  <si>
    <t>Осовских Виктор Васильевич</t>
  </si>
  <si>
    <t>Недомолкин Сергей Викторович</t>
  </si>
  <si>
    <t>Кондратенко Ирина Вадимовна</t>
  </si>
  <si>
    <t>Новичкова Галина Анатольевна</t>
  </si>
  <si>
    <t>Продеус Андрей Петрович</t>
  </si>
  <si>
    <t>Тузанкина Ирина Александровна</t>
  </si>
  <si>
    <t>Латышева Елена Александровна</t>
  </si>
  <si>
    <t>Пампура Александр Николаевич</t>
  </si>
  <si>
    <t>Папонов Олег Николаевич</t>
  </si>
  <si>
    <t>Федорова Татьяна Анатольевна</t>
  </si>
  <si>
    <t>Масчан Алексей Александрович</t>
  </si>
  <si>
    <t>Щербина Анна Юрьевна</t>
  </si>
  <si>
    <t>Мартынов Дмитрий Викторович</t>
  </si>
  <si>
    <t>Латышева Татьяна Васильевна</t>
  </si>
  <si>
    <t>Антонов Сергей Викторович</t>
  </si>
  <si>
    <t>Шомахов Анзор Анатольевич</t>
  </si>
  <si>
    <t>Петров Александр Николаевич</t>
  </si>
  <si>
    <t>Иванов Владимир Вячеславович</t>
  </si>
  <si>
    <t>Полушин Юрий Сергеевич</t>
  </si>
  <si>
    <t>Тимербаев Владимир Хамидович</t>
  </si>
  <si>
    <t>Соловьева Надежда Валентиновна</t>
  </si>
  <si>
    <t>Майстровский Кирилл Валерьевич</t>
  </si>
  <si>
    <t>Дубов Сергей Константинович</t>
  </si>
  <si>
    <t>Косачева Наталия Борисовна</t>
  </si>
  <si>
    <t>Срапян Рафик Араратович</t>
  </si>
  <si>
    <t>Шерстнев Андрей Владимирович</t>
  </si>
  <si>
    <t>Бомбин Дмитрий Александрович</t>
  </si>
  <si>
    <t>Андрусев Антон Михайлович</t>
  </si>
  <si>
    <t>Стадлер Владимир Владимирович</t>
  </si>
  <si>
    <t>Данилец Виолетта Вячеславовна</t>
  </si>
  <si>
    <t>Кашенцев Сергей Николаевич</t>
  </si>
  <si>
    <t>Агавелян Эрик Гарникович</t>
  </si>
  <si>
    <t>Смирнова Ольга Анатольевна</t>
  </si>
  <si>
    <t>Лоскутов Алексей Евгеньевич</t>
  </si>
  <si>
    <t>Турчанинов Александр Юрьевич</t>
  </si>
  <si>
    <t>Мансветова Екатерина Феликсовна</t>
  </si>
  <si>
    <t>Михайлов Антон Валерьевич</t>
  </si>
  <si>
    <t>Еременко Александр Анатольевич</t>
  </si>
  <si>
    <t>Губкин Игорь Михайлович</t>
  </si>
  <si>
    <t>Шутылев Антон Аркадьевич</t>
  </si>
  <si>
    <t>Баскаков Данил Сергеевич</t>
  </si>
  <si>
    <t>Пичугина Инна Сергеевна</t>
  </si>
  <si>
    <t>Иванов Марат Дмитриевич</t>
  </si>
  <si>
    <t>Козырев Александр Сергеевич</t>
  </si>
  <si>
    <t>Салихова Карина Александровна</t>
  </si>
  <si>
    <t>Коняшина Надежда Ивановна</t>
  </si>
  <si>
    <t>Баютина Софья Алексеевна</t>
  </si>
  <si>
    <t>Лёшина Ольга Анатольевна</t>
  </si>
  <si>
    <t>Розенко Дмитрий Александрович</t>
  </si>
  <si>
    <t>Ясакова Зимани Зенкирхановна</t>
  </si>
  <si>
    <t>Любарец Петр Викторович</t>
  </si>
  <si>
    <t>Мулина Инна Ивановна</t>
  </si>
  <si>
    <t>Амдиев Алим Анварович</t>
  </si>
  <si>
    <t>Лебедев Владимир Вениаминович</t>
  </si>
  <si>
    <t>Шанина Лилия Владимировна</t>
  </si>
  <si>
    <t>Виноградова Мария Алексеевна</t>
  </si>
  <si>
    <t>Григорьева Наталья Александровна</t>
  </si>
  <si>
    <t>Беляева Светлана Сергеевна</t>
  </si>
  <si>
    <t>Саврилова Алсу Мухарямовна</t>
  </si>
  <si>
    <t>Сараева Наталья Орестовна</t>
  </si>
  <si>
    <t>Сампиев Магомет Султанович</t>
  </si>
  <si>
    <t>Красавцева Татьяна Николаевна</t>
  </si>
  <si>
    <t>Румянцев Александр Львович</t>
  </si>
  <si>
    <t>Чернышева Наталья Николаевна</t>
  </si>
  <si>
    <t>Халиков Азам Джауланович</t>
  </si>
  <si>
    <t>Левит Александр Львович</t>
  </si>
  <si>
    <t>Пырегов Алексей Викторович</t>
  </si>
  <si>
    <t>Исачкина Алина Николаевна</t>
  </si>
  <si>
    <t>Сибирский банк СБ РФ</t>
  </si>
  <si>
    <t>ОАО БАЛТИЙСКИЙ БАНК</t>
  </si>
  <si>
    <t>Сбербанк России ОАО г. Москва</t>
  </si>
  <si>
    <t>Сбербанк России г. Москва</t>
  </si>
  <si>
    <t xml:space="preserve">ОАО “АК БАРС БАНК” БАНК </t>
  </si>
  <si>
    <t>Донское отделение 7813/01017 Сбербанка России г Москва</t>
  </si>
  <si>
    <t>ЗАО ВТБ24</t>
  </si>
  <si>
    <t>ОАО «Альфа-Банк»</t>
  </si>
  <si>
    <t>Поволжский банк Сбербанк России г. Самара Самарское отделение № 6991</t>
  </si>
  <si>
    <t>ВТБ 24 (ЗАО)</t>
  </si>
  <si>
    <t>Красноярское городское Отделение №161 АК СБ РФ/ОАО/ г. Красноярск</t>
  </si>
  <si>
    <t>Сбербанк России</t>
  </si>
  <si>
    <t>ОАО «Сбербанк России»</t>
  </si>
  <si>
    <t>Краснодарское отделение №8619 г. Краснодар</t>
  </si>
  <si>
    <t>Юго-Западный банк СБ РФ Краснодар</t>
  </si>
  <si>
    <t>Филиал Северная Столица ЗАО Райффайзенбанк в г. Санкт-Петербурге</t>
  </si>
  <si>
    <t>Филиал №5440 ВТБ24 (ЗАО)</t>
  </si>
  <si>
    <t xml:space="preserve">Дополнительный офис № 9038/01545 ОАО «Сбербанк России» </t>
  </si>
  <si>
    <t>Сбербанк России, Уральский банк Сбербанка России</t>
  </si>
  <si>
    <t>ЗАО КБ «Ситибанк» в г. Москва</t>
  </si>
  <si>
    <t>Королёвское отделение № 2570/095 Среднерусского банка СБ РФ Сбербанк</t>
  </si>
  <si>
    <t>Северо-Западный банк Сбербанка РФ, г. Санкт-Петербург</t>
  </si>
  <si>
    <t>Кемеровское отделение в ГРКЦ ГУ Банка России по Кемеровской обл</t>
  </si>
  <si>
    <t>Сбербанк России филиал №7982/0331</t>
  </si>
  <si>
    <t>ОАО Альфа-Банк Москва</t>
  </si>
  <si>
    <t>Филиал Сбербанка ОСБ № 8613/38 г. Чебоксары</t>
  </si>
  <si>
    <t>ВТБ24</t>
  </si>
  <si>
    <t>ОАО СКБ-банк</t>
  </si>
  <si>
    <t>Центрально-Черноземный банк СБ РФ г. Воронеж</t>
  </si>
  <si>
    <t>ОАО Московский кредитный банк</t>
  </si>
  <si>
    <t>Северо-Западный банк  Сбербанка РФ г. Санкт-Петербург</t>
  </si>
  <si>
    <t>Сбербанк России,  Царицынское ОСБ 7978/0874</t>
  </si>
  <si>
    <t>Банк Архангельское ОСБ №8637/0009 РФ</t>
  </si>
  <si>
    <t>Отделение №8589 Сбербанка России</t>
  </si>
  <si>
    <t>ОСБ Банк Татарстан 8610 СБ РФ г. Казанб</t>
  </si>
  <si>
    <t>ЗАО КБ Ситибанк</t>
  </si>
  <si>
    <t xml:space="preserve">Волго-Вятский банк Сбербанка России </t>
  </si>
  <si>
    <t>доп. Офис №9038/01260 Сбербанка России ОАО</t>
  </si>
  <si>
    <t>Московский банк №9038 СДО №01014 Сбербанка России ОАО</t>
  </si>
  <si>
    <t>Ярославское отделение Сберегательного банка №17</t>
  </si>
  <si>
    <t>ПАО Банк Санкт-Петербург</t>
  </si>
  <si>
    <t>Северный банк Сбербанка России, отделение №8640 Сбербанка России</t>
  </si>
  <si>
    <t>OAO Сбербанк России</t>
  </si>
  <si>
    <t>Сбербанк России, ОСБ 08544/0195, г. Челябинск</t>
  </si>
  <si>
    <t>Дирекция Алемар ОАО Межтопэнергобанк</t>
  </si>
  <si>
    <t>Московский банк Сбербанка России г. Москва</t>
  </si>
  <si>
    <t>Северо-Западный банк ОАО «СБЕРБАНК РОССИИ» г.Санкт-Петербург</t>
  </si>
  <si>
    <t>ОАО АЛЬФА-БАНК г. Москва</t>
  </si>
  <si>
    <t>Волго-Вятский банк Сбербанка России  г. Нижний Новгород</t>
  </si>
  <si>
    <t>Кировское ОСБ 8047 Сибирский банк Сбербанка России</t>
  </si>
  <si>
    <t>ОАО Промсвязьбанк г. Москва</t>
  </si>
  <si>
    <t>Сбербанк России ОАО</t>
  </si>
  <si>
    <t>Дополнительный офис N 4 Ф-Л ГПГ (ОАО) в г. Оренбурге</t>
  </si>
  <si>
    <t>Дополнительный офис 6984/0333 в г. Пермь</t>
  </si>
  <si>
    <t>Петербургский филиал ЗАО Юникредит Банк</t>
  </si>
  <si>
    <t>Отделение 5221 Сбербанка России в г. Ростов-на-Дону</t>
  </si>
  <si>
    <t>Рязанское ОСБ №8606 г. Рязань</t>
  </si>
  <si>
    <t>Сбербанк Росссии ОАО г Москва</t>
  </si>
  <si>
    <t>Петроградское ОСБ №1879 Северо-Западный банк Сбербанка РФ г. Санкт-Петербург</t>
  </si>
  <si>
    <t>ОАО Россельхозбанк</t>
  </si>
  <si>
    <t>АО КБ Северный Кредит г. Вологда</t>
  </si>
  <si>
    <t xml:space="preserve">Отделение N 8615 Сбербанка России Г.Кемерово </t>
  </si>
  <si>
    <t>Самарское отделение №6991/0243 Сбербанка России</t>
  </si>
  <si>
    <t>Северо-Кавказский банк ОАО «Сбербанк России» г.Ставрополь</t>
  </si>
  <si>
    <t>НБ Траст ОАО Отделение банка Филиал в СПб</t>
  </si>
  <si>
    <t>Пермское ОСБ №6984 Сбербанка России</t>
  </si>
  <si>
    <t>Северо-Западный банк ПАО Сбербанк, г. Санкт-Петербург</t>
  </si>
  <si>
    <t>Отделение по Красноярскому краю №9031/0059 Сбербанка России</t>
  </si>
  <si>
    <t>Северо-Западный банк Сбербанка РФ, г. Санкт-Петербург доп.офис 8629/01422 г. Великий Новгород</t>
  </si>
  <si>
    <t xml:space="preserve">Северо-Западный банк Сбербанка РФ г. Санкт-Петербург </t>
  </si>
  <si>
    <t>Северо-Западный банк Сбербанк России</t>
  </si>
  <si>
    <t>Дальневосточный филиал ПАО Росбанк</t>
  </si>
  <si>
    <t xml:space="preserve">Юго-Западный банк Сбербанка России </t>
  </si>
  <si>
    <t>Северный банк Сбербанка России</t>
  </si>
  <si>
    <t>отделение №8593 Сбербанк России г. Липецк</t>
  </si>
  <si>
    <t>Отделение №8622 Сбербанка России г. Саратов</t>
  </si>
  <si>
    <t>Сбербанк России ПАО</t>
  </si>
  <si>
    <t>ВТБ 24 (ПАО) в г. Москве</t>
  </si>
  <si>
    <t>Волго-Вятский банк Сбербанка России г. Нижний Новгород</t>
  </si>
  <si>
    <t>Московский Банк Сбербанка России</t>
  </si>
  <si>
    <t>Отделение № 8610 Сбербанк России, г. Казань</t>
  </si>
  <si>
    <t>Азиатско-тихоокеанский банк ПАО г. Благовещенск</t>
  </si>
  <si>
    <t>Городское отделение  № 69 Сбербанка РФ г.Киров</t>
  </si>
  <si>
    <t>ГПГ (ОАО)</t>
  </si>
  <si>
    <t>Отеление №8619 Сбербанка России</t>
  </si>
  <si>
    <t>ПАО Росбанк</t>
  </si>
  <si>
    <t>ВТБ 24 (ПАО)</t>
  </si>
  <si>
    <t>Сбербанк Росии</t>
  </si>
  <si>
    <t>Райффайзен Банк</t>
  </si>
  <si>
    <t>ПАО СБЕРБАНК, Г.МОСКВА</t>
  </si>
  <si>
    <t>Филиал ОАО УРАЛСИБ в г. Уфа</t>
  </si>
  <si>
    <t>Отделение №8598 Сбербанка России г. Уфа</t>
  </si>
  <si>
    <t>ДО Чкаловский Новосибирский филиал ПАО МДМ БАНК</t>
  </si>
  <si>
    <t>ФАК СБ РФ ОАО Кировское отделение В Поволжском банке Сбербанка РФ г. Самара</t>
  </si>
  <si>
    <t>ЦОПП №8621/07771 ПАО Сбербанк</t>
  </si>
  <si>
    <t>Отделение №5630 Сбербанка России, г. Псков</t>
  </si>
  <si>
    <t xml:space="preserve">АО «Альфа-Банк», г.Москва </t>
  </si>
  <si>
    <t>Дальневосточный банк Сбербанка РФ, Доп. Офис 9070/010</t>
  </si>
  <si>
    <t>АО Альфа-Банк, г. Мурманск</t>
  </si>
  <si>
    <t>ВТБ 24(ПАО)</t>
  </si>
  <si>
    <t>ПАО Сбербанк России, отделение 8637, г. Архангельск</t>
  </si>
  <si>
    <t>АО «Альфа-Банк» г. Москва</t>
  </si>
  <si>
    <t>ОАО ВКАБАНК г. Астрахань</t>
  </si>
  <si>
    <t>Тверское отделение №8607 ПАО Сбербанк г. Тверь</t>
  </si>
  <si>
    <t>ПАО Сбербанк г. Москва</t>
  </si>
  <si>
    <t>Дальневосточный банк ПАО Сбербанк, Доп. Офис 9070/00119</t>
  </si>
  <si>
    <t xml:space="preserve">Московский филиал ПАО «Росбанк» </t>
  </si>
  <si>
    <t>Автозаводское отделение №8213 Сбербанка РФ, г. Тольятти</t>
  </si>
  <si>
    <t>Поволжский Банк ПАО Сбербарнк</t>
  </si>
  <si>
    <t xml:space="preserve"> Сибирский банк ПАО СБЕРБАНК г. Новосибирск, отделение 8047</t>
  </si>
  <si>
    <t>Отделение №8635 Дальневосточный Банк ПАО Сбербанк Владивосток</t>
  </si>
  <si>
    <t>Северо-Западный банк ПАО Сбербанк г. Санкт-Петербург</t>
  </si>
  <si>
    <t>ПАО СБЕРБАНК г. Москва</t>
  </si>
  <si>
    <t>АО КБ «СитиБанк» г. Москва</t>
  </si>
  <si>
    <t>Донское ОСБ 7813 Сбербанк ПАО</t>
  </si>
  <si>
    <t>ПАО Сбербанк, г. Москва</t>
  </si>
  <si>
    <t>АО КБ «СитиБанк» в г. Москва</t>
  </si>
  <si>
    <t>Юго-Западный Банк ПАО Сбербанк, Ростов-на-Дону</t>
  </si>
  <si>
    <t>Филиал №2754 Банка ВТБ 24 (ПАО), г. Хабаровск</t>
  </si>
  <si>
    <t>Банк ВТБ ПАО Ярославль</t>
  </si>
  <si>
    <t>Дальневосточный Банк ПАО Сбербанк, Приморское ОСБ 8635/00161</t>
  </si>
  <si>
    <t>Западно-Уральский Банк ПАО Сбербанк, Пермь</t>
  </si>
  <si>
    <t>Отделение №6991 Сбербанка России г. Самара</t>
  </si>
  <si>
    <t xml:space="preserve">ПАО Сбербанк г. Москва </t>
  </si>
  <si>
    <t xml:space="preserve">Юго-Западный Банк ПАО Сбербанк г.Ростов-на-Дону, отделение N5221  </t>
  </si>
  <si>
    <t>ПАО Бинбанк, г. Москва</t>
  </si>
  <si>
    <t>Саратовское отделение №8622 ПАО Сбербанк г. Саратов</t>
  </si>
  <si>
    <t>Тульское отделение №8604 ПАО Сбербанк г. Тула</t>
  </si>
  <si>
    <t>Челябинское отделение N8597 ПАО СБЕРБАНК, г. Челябинск</t>
  </si>
  <si>
    <t>Дальневосточный банк  ПАО Сбербанк г. Хабаровск</t>
  </si>
  <si>
    <t>Центрально-Черноземный банк ПАО Сбербанк г. Воронеж</t>
  </si>
  <si>
    <t>Московский Банк ПАО Сбербанк г. Москва доп.офис 9038/01748</t>
  </si>
  <si>
    <t>Новгородкое отделение 8629 ПАО Сбербанк г. Великий Новгород</t>
  </si>
  <si>
    <t>Отделении № 8621 ПАО СБЕРБАНК г. Волгоград</t>
  </si>
  <si>
    <t>Филиал Банка ГПБ (АО) в г. Ростов-на-Дону</t>
  </si>
  <si>
    <t>Чеченский РФ ОА Россельхозбанк г. Грозный</t>
  </si>
  <si>
    <t>Дальневосточный Банк ПАО Сбербанк г. Хабаровск</t>
  </si>
  <si>
    <t>ВТБ 24 ПАО г. Москва</t>
  </si>
  <si>
    <t>ПАО Российском национальном коммерческом банке (РНКБ) г. Симферополь</t>
  </si>
  <si>
    <t>Отделение N8619 ПАО Сбербанк, г.Краснодар (Краснодарское отделение №8619)</t>
  </si>
  <si>
    <t>ПАО «Запсибкомбанк» г. Тюмень</t>
  </si>
  <si>
    <t>Архангельское отделение №8637 ПАО Сбербанк, г. Архангельск</t>
  </si>
  <si>
    <t>ПАО «ВТБ 24» г. Москва</t>
  </si>
  <si>
    <t>Филиал № 5440 ПАО «ВТБ 24», г. Новосибирск</t>
  </si>
  <si>
    <t>Башкирское отделение  № 8598 ПАО Сбербанк г. Уфа</t>
  </si>
  <si>
    <t>Северо-западный банк ПАО Сбербанк России г. Санкт-Петербург</t>
  </si>
  <si>
    <t>Московский банк Сбербанка России</t>
  </si>
  <si>
    <t>Доп. офис №9038/097 ПАО Сбербанк</t>
  </si>
  <si>
    <t>Ф-Л СЕВЕРНАЯ СТОЛИЦА АО РАЙФФАЙЗЕНБАНК Г САНКТ-ПЕТЕРБУРГ</t>
  </si>
  <si>
    <t>ПАО СБЕРБАНК</t>
  </si>
  <si>
    <t>ПАО СКБ-банк</t>
  </si>
  <si>
    <t>СЕВЕРО-ЗАПАДНЫЙ БАНК ПАО СБЕРБАНК Г.САНКТ-ПЕТЕРБУРГ</t>
  </si>
  <si>
    <t>045004641</t>
  </si>
  <si>
    <t>044525225</t>
  </si>
  <si>
    <t>044030804</t>
  </si>
  <si>
    <t>044030653</t>
  </si>
  <si>
    <t>044525593</t>
  </si>
  <si>
    <t>049205603</t>
  </si>
  <si>
    <t>044030723</t>
  </si>
  <si>
    <t>043601607</t>
  </si>
  <si>
    <t>044030790</t>
  </si>
  <si>
    <t>044525700</t>
  </si>
  <si>
    <t>045004821</t>
  </si>
  <si>
    <t>044525716</t>
  </si>
  <si>
    <t>040813827</t>
  </si>
  <si>
    <t>049205805</t>
  </si>
  <si>
    <t>040349700</t>
  </si>
  <si>
    <t>040407388</t>
  </si>
  <si>
    <t>044030766</t>
  </si>
  <si>
    <t>044030799</t>
  </si>
  <si>
    <t>044030765</t>
  </si>
  <si>
    <t>044525202</t>
  </si>
  <si>
    <t>044525311</t>
  </si>
  <si>
    <t>040349602</t>
  </si>
  <si>
    <t>045005780</t>
  </si>
  <si>
    <t>046577674</t>
  </si>
  <si>
    <t>040173604</t>
  </si>
  <si>
    <t>Григорьев Евгений Валерьевич</t>
  </si>
  <si>
    <t>г. Кемерово, ул. Кирова, д.23, кв.12</t>
  </si>
  <si>
    <t>42307810726031302990</t>
  </si>
  <si>
    <t>30101810500000000641</t>
  </si>
  <si>
    <t>г. Москва, ул. 2-я Владимирская, дом 45, кв. 181</t>
  </si>
  <si>
    <t>40817810297430006616</t>
  </si>
  <si>
    <t>Дробинская Алла Николаевна</t>
  </si>
  <si>
    <t>г. Новосибирск, ул. Кедровая, 67, кв.13</t>
  </si>
  <si>
    <t>42307810444070805536</t>
  </si>
  <si>
    <t>Евдокимов Евгений Александрович</t>
  </si>
  <si>
    <t>40817810338174307594</t>
  </si>
  <si>
    <t>30301810800006003800</t>
  </si>
  <si>
    <t>Шиганов Михаил Юрьевич</t>
  </si>
  <si>
    <t xml:space="preserve">Санкт-Петербург, Ленинский пр 72\1-838  </t>
  </si>
  <si>
    <t>40817810701004692103</t>
  </si>
  <si>
    <t>30101810100000000804</t>
  </si>
  <si>
    <t>Хряпа Александр Александрович</t>
  </si>
  <si>
    <t>Санкт-Петербург, пр. Рижский, дом 30, кв. 25</t>
  </si>
  <si>
    <t>40817810355033091712</t>
  </si>
  <si>
    <t>30101810500000000653</t>
  </si>
  <si>
    <t>Новожилова Елена Николаевна</t>
  </si>
  <si>
    <t>42307810240000233367</t>
  </si>
  <si>
    <t>30101810400000000225</t>
  </si>
  <si>
    <t>Мощев Дмитрий Александрович</t>
  </si>
  <si>
    <t>Московская область, ул. Ленина, дом 38б, кв. 94</t>
  </si>
  <si>
    <t>40817810940210010858</t>
  </si>
  <si>
    <t>Гороховатский Юрий Иванович</t>
  </si>
  <si>
    <t>г. Москва, Щелковское шоссе, дом 26, к. 1, кв. 61</t>
  </si>
  <si>
    <t>40817810538183413402</t>
  </si>
  <si>
    <t>30101810200000000593</t>
  </si>
  <si>
    <t>Якупов Искандер Файрузович</t>
  </si>
  <si>
    <t>г. Казань, ул., Бигичева, дом 25, кв. 48</t>
  </si>
  <si>
    <t>40817810062191504662</t>
  </si>
  <si>
    <t>30101810600000000603</t>
  </si>
  <si>
    <t>Васильев Ярослав Иванович</t>
  </si>
  <si>
    <t>г. Всеволожек, ул. Александровская, дом 77, корп. 1, кв. 116</t>
  </si>
  <si>
    <t>40817810003000002286</t>
  </si>
  <si>
    <t>30101810100000000723</t>
  </si>
  <si>
    <t>42301810454406016606</t>
  </si>
  <si>
    <t>30101810200000000607</t>
  </si>
  <si>
    <t>Кулешов Олег Владимирович</t>
  </si>
  <si>
    <t>г. Санкт-Петербург, ул. Брянцева, дом 7, корп. 1, кв 558</t>
  </si>
  <si>
    <t>40817810117000870212</t>
  </si>
  <si>
    <t>30101810900000000790</t>
  </si>
  <si>
    <t>Пасечник Игорь Николаевич</t>
  </si>
  <si>
    <t>40817810101000440644</t>
  </si>
  <si>
    <t>30101810200000000700</t>
  </si>
  <si>
    <t>Скобелев Евгений Иванович</t>
  </si>
  <si>
    <t>Ступак Вячеслав Владимирович</t>
  </si>
  <si>
    <t>40817810300154039661</t>
  </si>
  <si>
    <t>30101810100000000821</t>
  </si>
  <si>
    <t>Сизов Вадим Андреевич</t>
  </si>
  <si>
    <t>40817810038110128707</t>
  </si>
  <si>
    <t>Лященко Юрий Николаевич</t>
  </si>
  <si>
    <t>42307810538045520734</t>
  </si>
  <si>
    <t>Луфт Валерий Матвеевич</t>
  </si>
  <si>
    <t xml:space="preserve">Санкт-Петербург, пр. Энгельса, д. 76, корпус 2, кв. 42 </t>
  </si>
  <si>
    <t>40817810233000456581</t>
  </si>
  <si>
    <t>Обухова Ольга Аркадьевна</t>
  </si>
  <si>
    <t>42301810638300713467</t>
  </si>
  <si>
    <t>Звягин Альфред Аркадьевич</t>
  </si>
  <si>
    <t>42301810038311375902</t>
  </si>
  <si>
    <t>42307810955104806540</t>
  </si>
  <si>
    <t>г. Санкт Петербург, ул. Тверская, дом 16, кв.47</t>
  </si>
  <si>
    <t>40817810855007965471</t>
  </si>
  <si>
    <t>Грибовская Наталья Владимировна</t>
  </si>
  <si>
    <t>Хабаровск, Санитарная ул. 7. 86</t>
  </si>
  <si>
    <t>30101810100000000716</t>
  </si>
  <si>
    <t>Шахова Ольга Владимировна</t>
  </si>
  <si>
    <t>г. Хабаровск, Восточное шоссе , 34-87</t>
  </si>
  <si>
    <t>40817810314560002270</t>
  </si>
  <si>
    <t>30101810300000000827</t>
  </si>
  <si>
    <t>Баялиева Айнагуль Жолдошевна</t>
  </si>
  <si>
    <t>г.Казань, проспект Победы 78-955</t>
  </si>
  <si>
    <t>30232810600192250001</t>
  </si>
  <si>
    <t>30101810000000000805</t>
  </si>
  <si>
    <t>Шифман Ефим Муневич</t>
  </si>
  <si>
    <t>г. Москва, ул. Удальцова, дом 17, к.1, кв. 48</t>
  </si>
  <si>
    <t>40817810138116458517</t>
  </si>
  <si>
    <t>Дёмина Татьяна Борисовна</t>
  </si>
  <si>
    <t>40817810645030005215</t>
  </si>
  <si>
    <t>Фаткуллин Ильдар Фаридович</t>
  </si>
  <si>
    <t>г. Казань, ул. Журналистов, дом 2, кв. 47</t>
  </si>
  <si>
    <t>40817810662020013802</t>
  </si>
  <si>
    <t>Калинин Павел Львович</t>
  </si>
  <si>
    <t>40817810538047612187</t>
  </si>
  <si>
    <t>Хотеев Андрей Жанович</t>
  </si>
  <si>
    <t>42301810404500006096</t>
  </si>
  <si>
    <t>Кулабухов Владимир Витальевич</t>
  </si>
  <si>
    <t>Москва, ул. Летчика Бабушкина, д.31, к.2</t>
  </si>
  <si>
    <t>40817810401000628056</t>
  </si>
  <si>
    <t>Дубинин Андрей Анатольевич</t>
  </si>
  <si>
    <t>40817810354402423669</t>
  </si>
  <si>
    <t>30232810481100000009</t>
  </si>
  <si>
    <t>40817810700170915730</t>
  </si>
  <si>
    <t>Бичурин Рамазан Амирович</t>
  </si>
  <si>
    <t>г. Красноярск, ул. Урицкого, дом 41, кв. 32</t>
  </si>
  <si>
    <t>40817810031282100326</t>
  </si>
  <si>
    <t>Грицан Алексей Иванович</t>
  </si>
  <si>
    <t>г Красноярск, ул Горького 36а кв 8</t>
  </si>
  <si>
    <t>40817810775000006876</t>
  </si>
  <si>
    <t>30101810000000000388</t>
  </si>
  <si>
    <t>Беженарь Виталий Федорович</t>
  </si>
  <si>
    <t>40817810108017005631</t>
  </si>
  <si>
    <t>30101810400000000766</t>
  </si>
  <si>
    <t>Щукин Владислав Владимирович</t>
  </si>
  <si>
    <t>40817810238118151233</t>
  </si>
  <si>
    <t>Рык Алла Александровна</t>
  </si>
  <si>
    <t>Капитанов Дмитрий Николаевич</t>
  </si>
  <si>
    <t>42301810938183410768</t>
  </si>
  <si>
    <t>Кутин Максим Александрович</t>
  </si>
  <si>
    <t>40817810638040105672</t>
  </si>
  <si>
    <t>г. Москва, ул. Краснопрудная, 2</t>
  </si>
  <si>
    <t>Селиванов Дмитрий Борисович</t>
  </si>
  <si>
    <t>40817810700470208329</t>
  </si>
  <si>
    <t>Киргизов Кирилл Игоревич</t>
  </si>
  <si>
    <t>4081781078118157504</t>
  </si>
  <si>
    <t>40817810638118158043</t>
  </si>
  <si>
    <t>Музуров Александр Львович</t>
  </si>
  <si>
    <t>30301810500001000001</t>
  </si>
  <si>
    <t>Смоляков Александр Александрович</t>
  </si>
  <si>
    <t>Московская обл, Мытищинский р-н, Мытищи г, Колпакова ул, дом № 23, корпус 1, кв.3</t>
  </si>
  <si>
    <t>40817810904980007232</t>
  </si>
  <si>
    <t>Земченков Александр Юрьевич</t>
  </si>
  <si>
    <t>40817810130523207415</t>
  </si>
  <si>
    <t>30101810100000000765</t>
  </si>
  <si>
    <t>Дьяченко Игорь Владиславович</t>
  </si>
  <si>
    <t>г. Москва, ул. Таллинская 24-466</t>
  </si>
  <si>
    <t>40817810738980356712</t>
  </si>
  <si>
    <t>30101810300000000202</t>
  </si>
  <si>
    <t>Москва, Ленинградское ш., 35-48</t>
  </si>
  <si>
    <t>Руксин Виктор Викторович</t>
  </si>
  <si>
    <t>40817810830012890109</t>
  </si>
  <si>
    <t>Шкрябунова Виктория Валерьевна</t>
  </si>
  <si>
    <t>г. Сочи, ул. Пластунская, 181-13</t>
  </si>
  <si>
    <t>42306810230000033924</t>
  </si>
  <si>
    <t>30101810100000000602</t>
  </si>
  <si>
    <t>Синьков Сергей Васильевич</t>
  </si>
  <si>
    <t>ул. Рашпилевская 180, кв.7</t>
  </si>
  <si>
    <t>42307810030000151131</t>
  </si>
  <si>
    <t>Андреева Татьяна Андреевна</t>
  </si>
  <si>
    <t>Санкт-Петербург, р. Песочный, ул. Новгородская, дом 48</t>
  </si>
  <si>
    <t>40817810003000281285</t>
  </si>
  <si>
    <t>Беляев Кирилл Юрьевич</t>
  </si>
  <si>
    <t>30232810700402000010</t>
  </si>
  <si>
    <t>30101810450040000751</t>
  </si>
  <si>
    <t>Жарков Павел Вячеславович</t>
  </si>
  <si>
    <t>40817810938118152053</t>
  </si>
  <si>
    <t>Зозуля Надежда Ивановна</t>
  </si>
  <si>
    <t>Московская область, п. Лунево, дом 5, кв. 57</t>
  </si>
  <si>
    <t>40817810938118170844</t>
  </si>
  <si>
    <t>Момот Андрей Павлович</t>
  </si>
  <si>
    <t>40817810108130002333</t>
  </si>
  <si>
    <t>Перина Фарида Галимовна</t>
  </si>
  <si>
    <t>г. Екатеринбург, ул. Полдневая, 43</t>
  </si>
  <si>
    <t>40817810416000095588</t>
  </si>
  <si>
    <t>30101810500000000674</t>
  </si>
  <si>
    <t>107076 Москва, ул. Преображенская дом 5/7 кв. 147</t>
  </si>
  <si>
    <t>40817810204140002395</t>
  </si>
  <si>
    <t>Полянская Татьяна Юрьевна</t>
  </si>
  <si>
    <t>Москва, Измайловский бульвар, д.32/23, к.1, кв.70</t>
  </si>
  <si>
    <t xml:space="preserve">30101810400000000225 </t>
  </si>
  <si>
    <t>Поспелова Татьяна Ивановна</t>
  </si>
  <si>
    <t>40817810701359001514</t>
  </si>
  <si>
    <t>Захарова Елена Викторовна</t>
  </si>
  <si>
    <t>г. Москва, ул. Косинская, 18</t>
  </si>
  <si>
    <t>40817810730012315472</t>
  </si>
  <si>
    <t>г Санкт-Петербург, ул. Чапыгина 5, 11</t>
  </si>
  <si>
    <t>Залепухина Ольга Эрвиновна</t>
  </si>
  <si>
    <t>г. Санкт-Петербург, пр. Ветеранов, 151, кор.2, кв.39</t>
  </si>
  <si>
    <t>40817810155008397515</t>
  </si>
  <si>
    <t>Овезов Алексей Мурадович</t>
  </si>
  <si>
    <t>г. Люберцы, Октябрьский пр., дом 380ж, кв 35</t>
  </si>
  <si>
    <t>Шин Александр Радионович</t>
  </si>
  <si>
    <t>40817810038060615438</t>
  </si>
  <si>
    <t>Шмелев Вадим Валентинович</t>
  </si>
  <si>
    <t>42307810802146024422</t>
  </si>
  <si>
    <t>Баутин Андрей Евгеньевич</t>
  </si>
  <si>
    <t>г.Санкт-Петербург, Красносельское шоссе, д.49, кв.43</t>
  </si>
  <si>
    <t>40817810255005979580</t>
  </si>
  <si>
    <t>Лубнин Андрей Юрьевич</t>
  </si>
  <si>
    <t>42301810638040121911</t>
  </si>
  <si>
    <t>Прасолов Николай Васильевич</t>
  </si>
  <si>
    <t>г. Королев, мкр. Болеваул. Станционная, 47а-17</t>
  </si>
  <si>
    <t>40817810540171505116</t>
  </si>
  <si>
    <t>Афончиков Вячеслав Сергеевич</t>
  </si>
  <si>
    <t>г. Санкт-Петербург, Приморский пр., дом 15, кв. 15</t>
  </si>
  <si>
    <t>40817810355032366639</t>
  </si>
  <si>
    <t>г. Москва, ул. 26 Бакинских Комиссаров, дом 8, корп. 1, кв. 89</t>
  </si>
  <si>
    <t>Шукевич Дмитрий Леонидович</t>
  </si>
  <si>
    <t>043207612</t>
  </si>
  <si>
    <t>40817810626001105353</t>
  </si>
  <si>
    <t>30101810200000000612</t>
  </si>
  <si>
    <t>Шулутко Елена Марковна</t>
  </si>
  <si>
    <t>г.Москва, ул. Красноармейская 26-1-61</t>
  </si>
  <si>
    <t>42306810238040822327</t>
  </si>
  <si>
    <t>Лопатин Андрей Федорович</t>
  </si>
  <si>
    <t>г. Москва, ул. Верхние поля, дом 4, кв.134</t>
  </si>
  <si>
    <t>40817810304270000196</t>
  </si>
  <si>
    <t>Саввина Ирина Александровна</t>
  </si>
  <si>
    <t>40817810955003894844</t>
  </si>
  <si>
    <t>Орешников Евгений Витальевич</t>
  </si>
  <si>
    <t>049706609</t>
  </si>
  <si>
    <t>40817810175021900306</t>
  </si>
  <si>
    <t>30101810300000000609</t>
  </si>
  <si>
    <t>Галстян Геннадий Мартинович</t>
  </si>
  <si>
    <t>г Москва, Смоленская-Сенная площадь 23/25 кв. 92</t>
  </si>
  <si>
    <t>044525495</t>
  </si>
  <si>
    <t>40817810100070775279</t>
  </si>
  <si>
    <t>30101810900000000495</t>
  </si>
  <si>
    <t>40817810401000258578</t>
  </si>
  <si>
    <t>Теплых Борис Анатольевич</t>
  </si>
  <si>
    <t>г. Москва, ул. Судостроительная, дом 28, к. 1, кв. 96</t>
  </si>
  <si>
    <t>42301810504400004069</t>
  </si>
  <si>
    <t>Матковский Андрей Анатольевич</t>
  </si>
  <si>
    <t>г Екатеринбург,ул. Академика Постовского 17</t>
  </si>
  <si>
    <t>40817810416001019194</t>
  </si>
  <si>
    <t>Глущенко Владимир Анатольевич</t>
  </si>
  <si>
    <t>42307810155083303948</t>
  </si>
  <si>
    <t>Московская область, г. Лобня, ул. Чехова, дом 14, кв. 44</t>
  </si>
  <si>
    <t>40817810038040432204</t>
  </si>
  <si>
    <t>Шеметова Мария Михайловна</t>
  </si>
  <si>
    <t>40817810138040419790</t>
  </si>
  <si>
    <t>40817810638264200845</t>
  </si>
  <si>
    <t>Овечкин Анатолий Юрьевич</t>
  </si>
  <si>
    <t>046577756</t>
  </si>
  <si>
    <t>30101810800000000756</t>
  </si>
  <si>
    <t>044525555</t>
  </si>
  <si>
    <t>30101810400000000555</t>
  </si>
  <si>
    <t>Клыпа Татьяна Валерьевна</t>
  </si>
  <si>
    <t>Московская область, поселок МПС, дом 13, кв. 3</t>
  </si>
  <si>
    <t>40817810740440018231</t>
  </si>
  <si>
    <t>Добродеев Антон Сергеевич</t>
  </si>
  <si>
    <t>40817810238110071573</t>
  </si>
  <si>
    <t>Наливайко Владимир Евгеньевич</t>
  </si>
  <si>
    <t>г. Воронеж, бульвар Победы, 51</t>
  </si>
  <si>
    <t>042007681</t>
  </si>
  <si>
    <t>40817810613005345568</t>
  </si>
  <si>
    <t>30101810600000000681</t>
  </si>
  <si>
    <t>Руда Михаил Яковлевич</t>
  </si>
  <si>
    <t>Горобец Евгений Соломонович</t>
  </si>
  <si>
    <t>г. Москва, ул. Донская, д.6, кв.20</t>
  </si>
  <si>
    <t>044585659</t>
  </si>
  <si>
    <t>40817810200000343430</t>
  </si>
  <si>
    <t>30101810300000000659</t>
  </si>
  <si>
    <t>Струков Егор Юрьевич</t>
  </si>
  <si>
    <t>г. Санкт-Петербург, р-н Пушкинский, пос. Шушары, ул. Галицкая, ул Славянка, дом 19, корп. 3, кв. 9</t>
  </si>
  <si>
    <t>40817810455008103645</t>
  </si>
  <si>
    <t>Близнов Александр Анатольевич</t>
  </si>
  <si>
    <t>40817810838298749127</t>
  </si>
  <si>
    <t>Заварзин Алексей Юрьевич</t>
  </si>
  <si>
    <t>40817810200024446219</t>
  </si>
  <si>
    <t>г. Санкт-Петербург, ул. Руднева, 31/29, 12</t>
  </si>
  <si>
    <t>Янковская Евгения Викторовна</t>
  </si>
  <si>
    <t>г Москва, Севастопольский проспект, д 63/20 кв 137</t>
  </si>
  <si>
    <t>Зоренко Владимир Юрьевич</t>
  </si>
  <si>
    <t>40817810638060404748</t>
  </si>
  <si>
    <t>Шень Наталья Петровна</t>
  </si>
  <si>
    <t>г. Екатеринбург, Сиреневый бул., дом 5, кв. 22</t>
  </si>
  <si>
    <t>40817810716000082660</t>
  </si>
  <si>
    <t>Никитин Денис Юрьевич</t>
  </si>
  <si>
    <t>г. Ханты-Мансийск, ул. Объездная, дом 6, кв. 129</t>
  </si>
  <si>
    <t>40817810199000117244</t>
  </si>
  <si>
    <t>40817810455032900212</t>
  </si>
  <si>
    <t>40817810255032900564</t>
  </si>
  <si>
    <t>047162782</t>
  </si>
  <si>
    <t>30101810771620000782</t>
  </si>
  <si>
    <t>Перов Константин Алексеевич</t>
  </si>
  <si>
    <t>г. Москва, Волгоградский проспект дом 128 корпус 4 квартира 55</t>
  </si>
  <si>
    <t>40817810301001850981</t>
  </si>
  <si>
    <t>Воробьева Надежда Александровна</t>
  </si>
  <si>
    <t>г. Архангельск, ул. Волгоградская, дом 38, кв. 86</t>
  </si>
  <si>
    <t>041117601</t>
  </si>
  <si>
    <t>40817810504000151534/50</t>
  </si>
  <si>
    <t>30101810100000000601</t>
  </si>
  <si>
    <t>г. Москва, ул. Металлургов, дом 38, кв. 74</t>
  </si>
  <si>
    <t>40817810238118160606</t>
  </si>
  <si>
    <t>Тесля Валерий Владимирович</t>
  </si>
  <si>
    <t>Республика Мордовия, г. Саранск, ул. Пролетарская, дом 44А, кв. 25</t>
  </si>
  <si>
    <t>048952615</t>
  </si>
  <si>
    <t>40817810339156700221</t>
  </si>
  <si>
    <t>Шпанер Роман Яковлевич</t>
  </si>
  <si>
    <t>г. Казань, ул. 8-ое Марта, дом 2, кв. 63</t>
  </si>
  <si>
    <t>42307810562210290247/48</t>
  </si>
  <si>
    <t>Шиллер Екатерина Эдуардовна</t>
  </si>
  <si>
    <t>г. Москва, ул. Грина, дом 13, кв. 349</t>
  </si>
  <si>
    <t>42306810438140001990</t>
  </si>
  <si>
    <t>Нехаев Игорь Владимирович</t>
  </si>
  <si>
    <t>г. Москва, Битцевский проезд 15-126</t>
  </si>
  <si>
    <t>42307810335061404487</t>
  </si>
  <si>
    <t>г. Москва, Ленинский проспект, дом 70/11, кв. 571</t>
  </si>
  <si>
    <t>40817810430018745852</t>
  </si>
  <si>
    <t>40817810738294022265</t>
  </si>
  <si>
    <t>Рыбка Михаил Михайлович</t>
  </si>
  <si>
    <t>г. Москва, ул. Новомарьинская 36-1-163</t>
  </si>
  <si>
    <t>40817810838266601200</t>
  </si>
  <si>
    <t>Лебедева Наталья Владимировна</t>
  </si>
  <si>
    <t>г. Нижний Новгород, ул. Богородского, д.7, корп. 3, кв.21</t>
  </si>
  <si>
    <t>042202603</t>
  </si>
  <si>
    <t>42307810442052154108/48</t>
  </si>
  <si>
    <t>30101810900000000603</t>
  </si>
  <si>
    <t>Лобов Олег Анатольевич</t>
  </si>
  <si>
    <t>г. Воронеж, ул. Кривошеина, дом 72, кв. 96</t>
  </si>
  <si>
    <t>40817810913007134121</t>
  </si>
  <si>
    <t>Куркина Ирина Александровна</t>
  </si>
  <si>
    <t>г. Саратов, ул. Чернышевского, дом 129, кв. 32</t>
  </si>
  <si>
    <t>40817810430840848574</t>
  </si>
  <si>
    <t>Овсянников Александр Николаевич</t>
  </si>
  <si>
    <t>Тамбовская область, рн. Знаменко, ул. Мичурина, дом 2</t>
  </si>
  <si>
    <t>046850649</t>
  </si>
  <si>
    <t>40817810861007305853</t>
  </si>
  <si>
    <t>30101810800000000649</t>
  </si>
  <si>
    <t>Кричевский Лев Анатольевич</t>
  </si>
  <si>
    <t>Москва, Химкинский б-р, 14-2-41</t>
  </si>
  <si>
    <t>40817810238123818118</t>
  </si>
  <si>
    <t>40817810738047756542</t>
  </si>
  <si>
    <t>Николенко Андрей Валентинович</t>
  </si>
  <si>
    <t>г Пермь, ул Докучаева, 34-5</t>
  </si>
  <si>
    <t>045773603</t>
  </si>
  <si>
    <t>40817810049775586184</t>
  </si>
  <si>
    <t>40817810338118001241</t>
  </si>
  <si>
    <t>Гаврилин Сергей Викторович</t>
  </si>
  <si>
    <t>г. Санкт-Петербург, ул. Ушинского, дом 39, корп 3, кв. 132</t>
  </si>
  <si>
    <t>40817810955032713161</t>
  </si>
  <si>
    <t>Куртов Игорь Валентинович</t>
  </si>
  <si>
    <t>г. Самара, ул. Александра Матросова, дом 57/63, кв. 125</t>
  </si>
  <si>
    <t>42307840654408400084</t>
  </si>
  <si>
    <t>Шестаков Евгений Андреевич</t>
  </si>
  <si>
    <t>г. Москва, ул. 15 Парковая, 40-5-23</t>
  </si>
  <si>
    <t>40817810538297626282</t>
  </si>
  <si>
    <t>Журавель Сергей Владимирович</t>
  </si>
  <si>
    <t>Моск. Обл, г. Химки, ул. Пожарского, д. 27, кв. 159</t>
  </si>
  <si>
    <t>044525181</t>
  </si>
  <si>
    <t>40817810106337000782</t>
  </si>
  <si>
    <t>30101810900000000181</t>
  </si>
  <si>
    <t>Строгонов Алексей Игоревич</t>
  </si>
  <si>
    <t>г. Санкт-Петербург, ул. Варшавская, дом 122, кв. 136</t>
  </si>
  <si>
    <t>40817810155032712700</t>
  </si>
  <si>
    <t>г. Москва, Чечерский пр. 30 кв.20</t>
  </si>
  <si>
    <t>40817810838067323363</t>
  </si>
  <si>
    <t>г. Воронеж, Набережная Авиастроителей, дом 18, кв. 294</t>
  </si>
  <si>
    <t>042007738</t>
  </si>
  <si>
    <t>30232810400512000010</t>
  </si>
  <si>
    <t>30101810100000000738</t>
  </si>
  <si>
    <t>г. Ярославль, ул. С.Орджоникидзе, дом 22, кв.38</t>
  </si>
  <si>
    <t>047888670</t>
  </si>
  <si>
    <t>40817810677035505266</t>
  </si>
  <si>
    <t>30101810500000000670</t>
  </si>
  <si>
    <t>г. Санкт-Петербург, р-н Адмиралтейский, ул. Гелерная, дом 21, кв.11</t>
  </si>
  <si>
    <t>40817810690480026912</t>
  </si>
  <si>
    <t>г. Кострома, ул. Козуева, дом 21, кв.7</t>
  </si>
  <si>
    <t>043469623</t>
  </si>
  <si>
    <t>40817810529124359477</t>
  </si>
  <si>
    <t>40817810955032900738</t>
  </si>
  <si>
    <t>г. Москва, ш. Энтузиастов, д.100, к.5, кв.109</t>
  </si>
  <si>
    <t>42306810038231612465</t>
  </si>
  <si>
    <t>г. Челябинск, ул. Омская, дом 12, кв.114</t>
  </si>
  <si>
    <t>047501602</t>
  </si>
  <si>
    <t>42306810972191216374</t>
  </si>
  <si>
    <t>30101810700000000602</t>
  </si>
  <si>
    <t>г. Нижний Новгород, ул. Родионова, дом 193, корп. 6,кв.31</t>
  </si>
  <si>
    <t>г. Саратов, ул. Советская 34, кв. 11</t>
  </si>
  <si>
    <t>046311649</t>
  </si>
  <si>
    <t>42306810556001086387</t>
  </si>
  <si>
    <t>30101810500000000649</t>
  </si>
  <si>
    <t>г Москва, ул. Тверская, 25/9, кв. 27</t>
  </si>
  <si>
    <t>40817810738118159353</t>
  </si>
  <si>
    <t>г. Новосибирск, ул. Дубравы, 31 а</t>
  </si>
  <si>
    <t>045004728</t>
  </si>
  <si>
    <t>40817810010001225128</t>
  </si>
  <si>
    <t>30101810300000000728</t>
  </si>
  <si>
    <t>40817810010000060727</t>
  </si>
  <si>
    <t>г. Волгоград, Набережная Волжской Флотилии, дом 21,кв. 149</t>
  </si>
  <si>
    <t>Ленинградская область, Выборгское шоссе, дом 7, кв.81</t>
  </si>
  <si>
    <t>40817810555032678923</t>
  </si>
  <si>
    <t>г. Калининград, ул. Зелёная, дом 89, кв. 33</t>
  </si>
  <si>
    <t>40817810508360006505</t>
  </si>
  <si>
    <t>г. Нижний Новгород, ул. В-Печерская, дом 9, кв. 447</t>
  </si>
  <si>
    <t>40817810142056306197/51</t>
  </si>
  <si>
    <t xml:space="preserve">г. Владивосток, пр-т 100-летия Владдивостока, д.107, кв.96 </t>
  </si>
  <si>
    <t>040813608</t>
  </si>
  <si>
    <t>40817810350002811753</t>
  </si>
  <si>
    <t>30101810600000000608</t>
  </si>
  <si>
    <t xml:space="preserve">40817810400006000000 </t>
  </si>
  <si>
    <t>г.Санкт-Петербург, ул. Маршала Казакова, д.28, к.1, кв.406</t>
  </si>
  <si>
    <t>40817810990190017335</t>
  </si>
  <si>
    <t xml:space="preserve"> Москва, ул. Пр-д Русанова д.5 кв.381</t>
  </si>
  <si>
    <t>40817810038296700353</t>
  </si>
  <si>
    <t>Москва, ул. Девятая Рота д.27 кв.23</t>
  </si>
  <si>
    <t>40817810238290301008</t>
  </si>
  <si>
    <t>г. Балашиха, д. Черное, ул. Агрогородок, дом 18, кв. 172</t>
  </si>
  <si>
    <t>40817810051001040935</t>
  </si>
  <si>
    <t>г. Москва, ул. Веерная, 1-4-19</t>
  </si>
  <si>
    <t>40817810838180803155</t>
  </si>
  <si>
    <t>г.Оренбург, Ленинский район, поселок Ростош, ул. Отрадная. Д.60</t>
  </si>
  <si>
    <t>045354854</t>
  </si>
  <si>
    <t>40817810123000000000</t>
  </si>
  <si>
    <t>г. Пермь, ул. Пушкина, д.23, кв.46</t>
  </si>
  <si>
    <t>40817810549770000000</t>
  </si>
  <si>
    <t>г. Санкт-Петербург, ул. Маркина, д.16а, кв.30</t>
  </si>
  <si>
    <t>044030858</t>
  </si>
  <si>
    <t>40817810250020151981</t>
  </si>
  <si>
    <t>Ростовская область, с.Крым, ул. Советская, д.19</t>
  </si>
  <si>
    <t>046015602</t>
  </si>
  <si>
    <t>40817810952090629337</t>
  </si>
  <si>
    <t>30101810600000000602</t>
  </si>
  <si>
    <t>г. Рязань, ул. Свободы, д.26, кв.15</t>
  </si>
  <si>
    <t>046126614</t>
  </si>
  <si>
    <t>40817810953000085251</t>
  </si>
  <si>
    <t>г. Москва, Ленинский проспект, 75/9, кв 117</t>
  </si>
  <si>
    <t xml:space="preserve">044525225 </t>
  </si>
  <si>
    <t>40817810438065902937</t>
  </si>
  <si>
    <t>г. Санкт-Петербург, ул. Кронверкская, 27-13</t>
  </si>
  <si>
    <t>42306810755204322183</t>
  </si>
  <si>
    <t>г. Владикавказ, ул. Бородинская, дом 5А, кв. 19</t>
  </si>
  <si>
    <t>049033785</t>
  </si>
  <si>
    <t>42305810126120002807</t>
  </si>
  <si>
    <t>г. Вологда, ул. Текстильщиков, 13, кв.50</t>
  </si>
  <si>
    <t>041909769</t>
  </si>
  <si>
    <t>40817810100001012888</t>
  </si>
  <si>
    <t>г. Ставрополь, ул. 50 лет ВЛКСМ, дом 55, корп. 1, кв. 124</t>
  </si>
  <si>
    <t>040702660</t>
  </si>
  <si>
    <t>40817810960000025984</t>
  </si>
  <si>
    <t>г. Санкт-Петербург, пр-кт Тореза д.36, к.2, кв.4</t>
  </si>
  <si>
    <t>г. Петрозаводск, ул. Чкалова, 45А, кв.81</t>
  </si>
  <si>
    <t>40817810255760828484</t>
  </si>
  <si>
    <t>г. Калининград, ул. Левитана, дом 61, кв. 69</t>
  </si>
  <si>
    <t>40817810055033058233</t>
  </si>
  <si>
    <t>г. Кемерово, Ленинский район, Октябрьский проспект, д.103, кв.243</t>
  </si>
  <si>
    <t xml:space="preserve">40817810726001489584 </t>
  </si>
  <si>
    <t>г. Самара, ул. Стара Загора, дом 77, кв. 55</t>
  </si>
  <si>
    <t>40817810954408010926</t>
  </si>
  <si>
    <t>г.Ставрополь, ул. Шпаковская, д.86,к.1,кв.12</t>
  </si>
  <si>
    <t xml:space="preserve">40817810360003723472   </t>
  </si>
  <si>
    <t>г. Великий Новгород, ул. Связи, д.5а, кв.8</t>
  </si>
  <si>
    <t>044959702</t>
  </si>
  <si>
    <t>40817810000186607613</t>
  </si>
  <si>
    <t>30101810300000000702</t>
  </si>
  <si>
    <t>044030806</t>
  </si>
  <si>
    <t>40817810100000004510</t>
  </si>
  <si>
    <t>30101810700000000806</t>
  </si>
  <si>
    <t>г. Пермь, ул. Луначарского, д.90, кв.92</t>
  </si>
  <si>
    <t>40817810449091734948</t>
  </si>
  <si>
    <t>г. Петрозаводск, ул. Маршала Мерецкова, 14А, кв.59</t>
  </si>
  <si>
    <t>40817810455032688932</t>
  </si>
  <si>
    <t>г. Мурманск, ул. Полярные Зори, д.23, кв.20</t>
  </si>
  <si>
    <t>г. Москва, ул. Профсоюзная, д.96, корп.1, кв.26</t>
  </si>
  <si>
    <t>40817810338118170402</t>
  </si>
  <si>
    <t>г. Красноярск, ул. Даурская, дом 10, кв. 247</t>
  </si>
  <si>
    <t>040407627</t>
  </si>
  <si>
    <t>42307810331287501659</t>
  </si>
  <si>
    <t>г. Великий Новгород, ул. б. Л. Голикова, д.6, кв.95</t>
  </si>
  <si>
    <t>044959698</t>
  </si>
  <si>
    <t>42307810143002403191</t>
  </si>
  <si>
    <t>30101810100000000698</t>
  </si>
  <si>
    <t>г. Санкт-Петербург, Московский пр,  д.202, кв.56</t>
  </si>
  <si>
    <t>40817810755030294507</t>
  </si>
  <si>
    <t>г. Санкт-Петербург, ул. Крюкова, д.10, кв.21</t>
  </si>
  <si>
    <t>40817810155007611807</t>
  </si>
  <si>
    <t>г. Санкт-Петербург, проспект Культуры, д.7, корп.1, кв.244</t>
  </si>
  <si>
    <t>40817810455005295899</t>
  </si>
  <si>
    <t>г. Владивосток, ул. Кутузова 5в, кв.32</t>
  </si>
  <si>
    <t>040507871</t>
  </si>
  <si>
    <t>40817810745660012826</t>
  </si>
  <si>
    <t>30101810300000000871</t>
  </si>
  <si>
    <t>г. Майкоп, ул.Юннатов, д.2, к.В, кв.32</t>
  </si>
  <si>
    <t>40817810101000057740</t>
  </si>
  <si>
    <t>г. Ярославль, ул. Нефтяников, дом 27, кв.29</t>
  </si>
  <si>
    <t>40817810877036250912</t>
  </si>
  <si>
    <t>г. Липецк, ул. Космонавтов, д 47, к. 7, кв 18</t>
  </si>
  <si>
    <t>044206604</t>
  </si>
  <si>
    <t>30301810435006001300</t>
  </si>
  <si>
    <t>30101810800000000604</t>
  </si>
  <si>
    <t>г.Москва, Мячковский бульвар, д. 6, кв. 134</t>
  </si>
  <si>
    <t>г. Зеленоград, к.1121, кв. 732</t>
  </si>
  <si>
    <t>г. Новосибирск, ул. Фрунзе, дом 57а, кв. 188</t>
  </si>
  <si>
    <t>045004775</t>
  </si>
  <si>
    <t>40817810401359004701</t>
  </si>
  <si>
    <t>30101810850040000775</t>
  </si>
  <si>
    <t>г. Сочи, ул. Параллельная, дом 9, литер 3, кв. 123</t>
  </si>
  <si>
    <t>г. Нижний Новгород, ул. Генкиной, дом 28, кв. 4</t>
  </si>
  <si>
    <t>40817810642000746355</t>
  </si>
  <si>
    <t>40817810238182621883</t>
  </si>
  <si>
    <t>г. Казань, ул. Толстого, д. 18, кв. 22</t>
  </si>
  <si>
    <t>42307810762193110888</t>
  </si>
  <si>
    <t>г. Благовещенск ул. Зейская д 141. кв. 94</t>
  </si>
  <si>
    <t>041012765</t>
  </si>
  <si>
    <t>40817810400009175526</t>
  </si>
  <si>
    <t>Киров, ул. Московская, д. 109, корп. 2, кв. 29</t>
  </si>
  <si>
    <t>043304609</t>
  </si>
  <si>
    <t>42301810627320008440</t>
  </si>
  <si>
    <t>30101810500000000609</t>
  </si>
  <si>
    <t>МО, ул. Ватутинки-2, дом 38, кв. 73</t>
  </si>
  <si>
    <t>044525823</t>
  </si>
  <si>
    <t>40817810500600516063</t>
  </si>
  <si>
    <t>30101810200000000823</t>
  </si>
  <si>
    <t>г. Уфа, ул. Мингажева, д.121/2, кв. 17</t>
  </si>
  <si>
    <t>048073770</t>
  </si>
  <si>
    <t>40817810700009137802</t>
  </si>
  <si>
    <t>30101810600000000770</t>
  </si>
  <si>
    <t>г. Казань, ул. Островского, 1/6, кв.43</t>
  </si>
  <si>
    <t>г. Одинцово, Можайское шоссе, д.93,кв.21</t>
  </si>
  <si>
    <t>40817810038041913968</t>
  </si>
  <si>
    <t>г. Краснодар, ул. Красных Партизан, дом 109, кв. 214</t>
  </si>
  <si>
    <t>40817810930006510342</t>
  </si>
  <si>
    <t>044525256</t>
  </si>
  <si>
    <t>30101810000000000256</t>
  </si>
  <si>
    <t>г. Москва, Пролетарский пр-т, дом 7а, кв. 34</t>
  </si>
  <si>
    <t>г. Москва, Врачебный пр-д, дом 7, корп. 1, кв. 31</t>
  </si>
  <si>
    <t>40817810938183783897</t>
  </si>
  <si>
    <t>г. Санкт-Петербург, ул. Подводника Кузьмина, 24, кв.26</t>
  </si>
  <si>
    <t>40817810655861887720</t>
  </si>
  <si>
    <t>пос. Малаховка, ул. Комсомольская д.3, кв.87</t>
  </si>
  <si>
    <t>40817810901002530040</t>
  </si>
  <si>
    <t>г. Москва, ул. Цюрупы, д. 16, к. 1, кв. 169</t>
  </si>
  <si>
    <t>40817810930522636371</t>
  </si>
  <si>
    <t>Республика Адыгея, А. Шенджий, Тахтамукайский р-н, ул. Чапаева, дом 4</t>
  </si>
  <si>
    <t>040349516</t>
  </si>
  <si>
    <t>40817810000492373111</t>
  </si>
  <si>
    <t>30101810500000000516</t>
  </si>
  <si>
    <t>г.Подольск, Красногвардейский б-р, д.15, кв.24</t>
  </si>
  <si>
    <t>40817810140332304637</t>
  </si>
  <si>
    <t>г. Уфа, ул. 50-летия Октября, 6/8, кв. 70</t>
  </si>
  <si>
    <t>40817810100999206812</t>
  </si>
  <si>
    <t>г. Уфа, ул. Ленина, дом 67, корп. 1, кв. 2</t>
  </si>
  <si>
    <t>048073601</t>
  </si>
  <si>
    <t>40817810206002670515</t>
  </si>
  <si>
    <t>30101810300000000601</t>
  </si>
  <si>
    <t>г. Троицк, ул. 1-я Лазурная, дом 13.</t>
  </si>
  <si>
    <t>40817810738049512506</t>
  </si>
  <si>
    <t>г. Новосибирск, Красный проспект, дом 402/1, кв. 26</t>
  </si>
  <si>
    <t>40817810800150036870</t>
  </si>
  <si>
    <t>г. Москва, Новогиреевская ул., д. 8, к. 3, кв. 37</t>
  </si>
  <si>
    <t>40817810404260001461</t>
  </si>
  <si>
    <t>40817810738092601024</t>
  </si>
  <si>
    <t>г. Самара, ул.Рабочая, д 85 кв 119</t>
  </si>
  <si>
    <t>42307810354409329041</t>
  </si>
  <si>
    <t>г. Псков, ул. Рокоссовского, д. 32, кв.75</t>
  </si>
  <si>
    <t>40817810455760218205</t>
  </si>
  <si>
    <t>г. Волгоград, ул. Маршала Еременко, дом 134, кв. 80</t>
  </si>
  <si>
    <t>041806647</t>
  </si>
  <si>
    <t>40817810811004730448</t>
  </si>
  <si>
    <t>30101810100000000647</t>
  </si>
  <si>
    <t>г. Псков, Рижский проспект, д.45, кв.111</t>
  </si>
  <si>
    <t>045805602</t>
  </si>
  <si>
    <t>40817810551860091800</t>
  </si>
  <si>
    <t>30101810300000000602</t>
  </si>
  <si>
    <t>г. Санкт-Петербург, ул. Сикейроса, д.17, к.3, кв.100</t>
  </si>
  <si>
    <t>40817810555006586339</t>
  </si>
  <si>
    <t>г. Ижевск, ул. Школьная, д. 72, кв. 46</t>
  </si>
  <si>
    <t>40817810908040014598</t>
  </si>
  <si>
    <t>г. Хабаровск, ул. Дикопольцева, д. 23, кв. 26</t>
  </si>
  <si>
    <t>42307810770001001571</t>
  </si>
  <si>
    <t>47422810204000000003</t>
  </si>
  <si>
    <t>г. Санкт-Петербург, пр. Тореза, дом 28, кв. 141</t>
  </si>
  <si>
    <t>40817810755008321075</t>
  </si>
  <si>
    <t>г. Санкт-Петербург, Ковенский пер. д.30, кв.10</t>
  </si>
  <si>
    <t>г. Архангельск, ул. Папанина, д.11, кв. 75</t>
  </si>
  <si>
    <t>40817810904001735643</t>
  </si>
  <si>
    <t xml:space="preserve">044525593 </t>
  </si>
  <si>
    <t>40817810508710012291</t>
  </si>
  <si>
    <t>40817810256003237226</t>
  </si>
  <si>
    <t>041203729</t>
  </si>
  <si>
    <t>40817810300000103631</t>
  </si>
  <si>
    <t>042809679</t>
  </si>
  <si>
    <t>40817810163070134853</t>
  </si>
  <si>
    <t>40817810438118171343</t>
  </si>
  <si>
    <t>40817810370006414576</t>
  </si>
  <si>
    <t>40817810597960005492</t>
  </si>
  <si>
    <t>42307810654066944750</t>
  </si>
  <si>
    <t>40817810054407204866</t>
  </si>
  <si>
    <t>40817810544052847069</t>
  </si>
  <si>
    <t>40817810050263800832</t>
  </si>
  <si>
    <t>40817810130013092583</t>
  </si>
  <si>
    <t>044030706</t>
  </si>
  <si>
    <t>40817810022009137738</t>
  </si>
  <si>
    <t>30101810800000000706</t>
  </si>
  <si>
    <t>40817810855033521973</t>
  </si>
  <si>
    <t>40817810538118159498</t>
  </si>
  <si>
    <t>40817810630012629729</t>
  </si>
  <si>
    <t>40817810802302168218</t>
  </si>
  <si>
    <t>40817810538060900821</t>
  </si>
  <si>
    <t>40817810238043350484</t>
  </si>
  <si>
    <t>40817810538048122472</t>
  </si>
  <si>
    <t>40817810138118150664</t>
  </si>
  <si>
    <t>40817810830012815883</t>
  </si>
  <si>
    <t>40817810852092904668</t>
  </si>
  <si>
    <t>40817810238061810375</t>
  </si>
  <si>
    <t>30232810800562000010</t>
  </si>
  <si>
    <t>048327710</t>
  </si>
  <si>
    <t>40817810644080001213</t>
  </si>
  <si>
    <t>40817810901005562427</t>
  </si>
  <si>
    <t>40817810455008292404</t>
  </si>
  <si>
    <t>40817810038092011673</t>
  </si>
  <si>
    <t>40817810510684007631</t>
  </si>
  <si>
    <t>40817810550002200782</t>
  </si>
  <si>
    <t>40817810649770015953</t>
  </si>
  <si>
    <t>40817810254403510846</t>
  </si>
  <si>
    <t>40817810219000058686</t>
  </si>
  <si>
    <t>42301810938283201204</t>
  </si>
  <si>
    <t>40817810238118158184</t>
  </si>
  <si>
    <t xml:space="preserve">046015602 </t>
  </si>
  <si>
    <t xml:space="preserve">40817810952096700247 </t>
  </si>
  <si>
    <t xml:space="preserve">30101810600000000602 </t>
  </si>
  <si>
    <t>42307810155082104465</t>
  </si>
  <si>
    <t>40817810538056131837</t>
  </si>
  <si>
    <t>044525205</t>
  </si>
  <si>
    <t>30232810300000014505</t>
  </si>
  <si>
    <t>40817810638257801413</t>
  </si>
  <si>
    <t>40817810338188282634</t>
  </si>
  <si>
    <t>40817810438188487025</t>
  </si>
  <si>
    <t>40817810054409144018</t>
  </si>
  <si>
    <t>40817810856001365134</t>
  </si>
  <si>
    <t>047003608</t>
  </si>
  <si>
    <t>40817810666000236671</t>
  </si>
  <si>
    <t>30101810300000000608</t>
  </si>
  <si>
    <t>044525974</t>
  </si>
  <si>
    <t>40817810400002040012</t>
  </si>
  <si>
    <t>40817810100007100000</t>
  </si>
  <si>
    <t xml:space="preserve"> 30101810300000000765</t>
  </si>
  <si>
    <t>40817810372197387369</t>
  </si>
  <si>
    <t>40817810170003221137</t>
  </si>
  <si>
    <t>40817810647001191114</t>
  </si>
  <si>
    <t>40817810413001609408</t>
  </si>
  <si>
    <t>40817810249096728586</t>
  </si>
  <si>
    <t>40817810455030125471</t>
  </si>
  <si>
    <t>40817810143860279596</t>
  </si>
  <si>
    <t>40817810811003910531</t>
  </si>
  <si>
    <t>046015968</t>
  </si>
  <si>
    <t>40817810900210000000</t>
  </si>
  <si>
    <t>30101810700000000968</t>
  </si>
  <si>
    <t>049690719</t>
  </si>
  <si>
    <t>40817810034190000403</t>
  </si>
  <si>
    <t>40817810670000953319</t>
  </si>
  <si>
    <t>043510607</t>
  </si>
  <si>
    <t>40817810540890012195</t>
  </si>
  <si>
    <t>30101810335100000607</t>
  </si>
  <si>
    <t>40817810230001933828</t>
  </si>
  <si>
    <t>047102613</t>
  </si>
  <si>
    <t>40817810200990091726</t>
  </si>
  <si>
    <t>40817810600023853322</t>
  </si>
  <si>
    <t>40817810104000462801</t>
  </si>
  <si>
    <t>40817810862260118846</t>
  </si>
  <si>
    <t>045004751</t>
  </si>
  <si>
    <t>40817810434114009462</t>
  </si>
  <si>
    <t>40817810938047743591</t>
  </si>
  <si>
    <t>40817810306000999910</t>
  </si>
  <si>
    <t>40817810238118170379</t>
  </si>
  <si>
    <t>40817810238040437520</t>
  </si>
  <si>
    <t>40817810255861414658</t>
  </si>
  <si>
    <t>40817810403001116768</t>
  </si>
  <si>
    <t>40817810810423692228</t>
  </si>
  <si>
    <t>40817810938049933781</t>
  </si>
  <si>
    <t>40817810155861965401</t>
  </si>
  <si>
    <t>г. Москва,  Дмитровское шоссе д. 33 кор. 6 кв. 49</t>
  </si>
  <si>
    <t>г.Москва, ул. Кировоградская 4-1-345</t>
  </si>
  <si>
    <t>40817810938041900000</t>
  </si>
  <si>
    <t>к/с банка</t>
  </si>
  <si>
    <t>Выдан когда</t>
  </si>
  <si>
    <t>Артёмов Дмитрий Владимирович</t>
  </si>
  <si>
    <t>Буланов Андрей Юльевич</t>
  </si>
  <si>
    <t>Варфоломеева Светлана Рафаэлевна</t>
  </si>
  <si>
    <t>Горелова Елена Анатольевна</t>
  </si>
  <si>
    <t>Ким Андрей Вячеславович</t>
  </si>
  <si>
    <t>Кравец Людмила Анатольевна</t>
  </si>
  <si>
    <t>Молоствова Валентина Захаровна</t>
  </si>
  <si>
    <t>Мясникова Виктория Владимировна</t>
  </si>
  <si>
    <t>Петров Виктор Юрьевич</t>
  </si>
  <si>
    <t>Румянцев Александр Григорьевич</t>
  </si>
  <si>
    <t>Чуприн Сергей Вячеславович</t>
  </si>
  <si>
    <t>Шибкова Куралай Жанкбаевна</t>
  </si>
  <si>
    <t>Шилова Анна Николаевна</t>
  </si>
  <si>
    <t>Шутов Евгений Викторович</t>
  </si>
  <si>
    <t>Цховребов Михаил Зурабович</t>
  </si>
  <si>
    <t>120-045-235-82</t>
  </si>
  <si>
    <t>005-144-514 98</t>
  </si>
  <si>
    <t xml:space="preserve">УВД Дзержинского района города Новосибирска </t>
  </si>
  <si>
    <t>023-302-269 90</t>
  </si>
  <si>
    <t>ТП№22 Отдела УФМС России по Санкт-Петербургу и Ленинградской области в Калининском районе  гор.Санкт-Петербурга</t>
  </si>
  <si>
    <t>004-107-137 78</t>
  </si>
  <si>
    <t>Федеральной Миграционной службой</t>
  </si>
  <si>
    <t>182-951-938 09</t>
  </si>
  <si>
    <t>Главным Управленим Внутренних дел С.-Петербурга и Ленинградской обл.</t>
  </si>
  <si>
    <t>026-084-315 29</t>
  </si>
  <si>
    <t>006-296-524 45</t>
  </si>
  <si>
    <t>Управлением внутренних дел Железнодорожного района города Хабаровска</t>
  </si>
  <si>
    <t>071-707-504 51</t>
  </si>
  <si>
    <t>ОВД Панфиловского района УВД Зеленоградского округа города Москвы</t>
  </si>
  <si>
    <t>118-209-684 58</t>
  </si>
  <si>
    <t>029-302-313 18</t>
  </si>
  <si>
    <t xml:space="preserve">ТП №65 Отдела УФМС России по Санкт-Петербургу и Ленинградской  обл.Приморском р-не гор.Санкт-Петербурга </t>
  </si>
  <si>
    <t>027-593-782 90</t>
  </si>
  <si>
    <t>Краснозаводским отделом  милиции Сергиево Посадского УВД Московской области</t>
  </si>
  <si>
    <t>085-981-246 15</t>
  </si>
  <si>
    <t>Вышневолоцким Отделом Внутренних Дел Тверской области</t>
  </si>
  <si>
    <t>113-352-294 16</t>
  </si>
  <si>
    <t>ТП №71 Отдела УФМС России по Санкт-Петербургу и Ленинградской области в Пушкинском р-не г.Санкт-Петербурга</t>
  </si>
  <si>
    <t>004-064-939 15</t>
  </si>
  <si>
    <t xml:space="preserve">УВД Советского района гор.Челябинска </t>
  </si>
  <si>
    <t>003-167-696 26</t>
  </si>
  <si>
    <t>Управлением Внутренних Дел Великого Новгорода</t>
  </si>
  <si>
    <t>136-395-170 74</t>
  </si>
  <si>
    <t xml:space="preserve">УВД Приволжского района г.Казани </t>
  </si>
  <si>
    <t>142-410-941 19</t>
  </si>
  <si>
    <t>Отделением ОФМС России по Республике Адыгея в Тахтамухарском районе</t>
  </si>
  <si>
    <t>009-341-098 30</t>
  </si>
  <si>
    <t>13 отделом милиции красногвардейского района Санкт-Петербурга</t>
  </si>
  <si>
    <t>131-924-353 41</t>
  </si>
  <si>
    <t>УВД Канавинского р-на гор.Нижнего Новгорода</t>
  </si>
  <si>
    <t>036-600-800 25</t>
  </si>
  <si>
    <t>Отделом УФМС России по Красноярскому Краю в Октябрьском р-не гор.Красноярска</t>
  </si>
  <si>
    <t>028-238-236 48</t>
  </si>
  <si>
    <t>Отделением №3 ОУФМС России по Белгородской области в городе Белгороде</t>
  </si>
  <si>
    <t>017-185-011 25</t>
  </si>
  <si>
    <t>Промышленным районным отделом внутренних дел города Смоленска</t>
  </si>
  <si>
    <t>063-371-788 70</t>
  </si>
  <si>
    <t xml:space="preserve">Управлением Внутренних дел Кировского района г.Красноярска </t>
  </si>
  <si>
    <t>027-916-717 77</t>
  </si>
  <si>
    <t>Отделом УФМС РОссии по гор.Москве по району Гольяново</t>
  </si>
  <si>
    <t>017-037-461 24</t>
  </si>
  <si>
    <t>Отделением УФМС России по Ставропольскому краю в г.Ессентуки</t>
  </si>
  <si>
    <t>009-520-713 28</t>
  </si>
  <si>
    <t xml:space="preserve">Межрайонным отделением №2 УФМС России по Архангельской обл.в городе Архангельске </t>
  </si>
  <si>
    <t>042-232-681 15</t>
  </si>
  <si>
    <t xml:space="preserve">Отделом внутренних дел Советского района гор.Ростова-на-Дону </t>
  </si>
  <si>
    <t>069-809-885 38</t>
  </si>
  <si>
    <t>Управлением внутренних дел Октябрьского района города Екатеринбурга</t>
  </si>
  <si>
    <t>023-187-107 20</t>
  </si>
  <si>
    <t>Отделом внутренних дел "Даниловский" города Москвы</t>
  </si>
  <si>
    <t>011-718-657 28</t>
  </si>
  <si>
    <t>Отделом УФМС России по Ханты-Мансийскому автоном.окр.-Югре в гор.Ханты-Мансийске</t>
  </si>
  <si>
    <t>070-843-374 62</t>
  </si>
  <si>
    <t>Автозаводским РУВД г.Тольятти Самарской обл.</t>
  </si>
  <si>
    <t>027-175-685 64</t>
  </si>
  <si>
    <t>046-858-510 95</t>
  </si>
  <si>
    <t xml:space="preserve">Управлением Внутренних дел города Пскова </t>
  </si>
  <si>
    <t>004-413-232 83</t>
  </si>
  <si>
    <t>Малаховским отделом милиции Люберецкого УВД Московской области</t>
  </si>
  <si>
    <t>013-729-025 25</t>
  </si>
  <si>
    <t>Отделом УФМС России по Волгоградской обл. в Краснооктябрьском р-не гор.Волгограда</t>
  </si>
  <si>
    <t>029-637-956 00</t>
  </si>
  <si>
    <t>010-457-311 97</t>
  </si>
  <si>
    <t>3 отделом милиции УВД гор.Подольска и Подольского района Московской области</t>
  </si>
  <si>
    <t>055-141-717 34</t>
  </si>
  <si>
    <t>ОВД "Текстильщики" гор.Москвы</t>
  </si>
  <si>
    <t>106-885-960 97</t>
  </si>
  <si>
    <t>ОУФМС России по Нижегородской обл.в Нижегородском р-не гор. Нижнего Новгорода</t>
  </si>
  <si>
    <t>002-675-808 36</t>
  </si>
  <si>
    <t>ОВД Октябрьского округа г. Архангельска</t>
  </si>
  <si>
    <t>042-213-099 01</t>
  </si>
  <si>
    <t>ГУВД Санкт-Петербурга и Ленинградской области</t>
  </si>
  <si>
    <t>050-678-205 53</t>
  </si>
  <si>
    <t xml:space="preserve">14отделом милиции Кировского района Санкт-Петербурга </t>
  </si>
  <si>
    <t>061-292-910 48</t>
  </si>
  <si>
    <t>Отделом УФМС России по Псковской области в городе Пскове</t>
  </si>
  <si>
    <t>005-348-466 34</t>
  </si>
  <si>
    <t>ОВД района Хамовники УВД ЦАО г. Москвы</t>
  </si>
  <si>
    <t>011-718-638 25</t>
  </si>
  <si>
    <t>ТП №139 отдела УФМС России по Санкт-Петербургу и Ленинградской обл. в Центральном районе гор. Санкт-Петербурга</t>
  </si>
  <si>
    <t>007-897-573 00</t>
  </si>
  <si>
    <t>УВД Центрального района города Новосибирска</t>
  </si>
  <si>
    <t>068-452-762 95</t>
  </si>
  <si>
    <t>ТП№9 Отдела УФМС России по Санкт-Петербургу и Ленинградской обл.в Выборгском р-не г.Санкт-Петербурга</t>
  </si>
  <si>
    <t>009-493-922 76</t>
  </si>
  <si>
    <t xml:space="preserve">ТП №20 Отдела УФМС России по Санкт-Петербургу и Ленинградской области в Калининском р-не гор.Санкт-Петербурга </t>
  </si>
  <si>
    <t>015-170-916 18</t>
  </si>
  <si>
    <t>Отделом внутренних дел Октябрьского округа города Мурманска</t>
  </si>
  <si>
    <t>059-450-362 74</t>
  </si>
  <si>
    <t xml:space="preserve">ТП№65 УФМС России по Санкт-Петербургу и Ленинградской области в Приморском р-не г.Санкт-Пербурга </t>
  </si>
  <si>
    <t>020-952-412 18</t>
  </si>
  <si>
    <t>Быковским ГОМ Раменского района Московской области</t>
  </si>
  <si>
    <t>052-721-769 51</t>
  </si>
  <si>
    <t>Отделением по району Якиманка ОУФМС России по гор.Москве в ЦАО</t>
  </si>
  <si>
    <t>018-528-952 74</t>
  </si>
  <si>
    <t xml:space="preserve">73 отделом милиции Фрунзенского района Санкт-Петербурга </t>
  </si>
  <si>
    <t>115-895-169 88</t>
  </si>
  <si>
    <t xml:space="preserve">Отделом УФМС России по Хабаровскому краю в центральном р-не гор.Хабаровска </t>
  </si>
  <si>
    <t>028-872-990 06</t>
  </si>
  <si>
    <t>Отделом УФМС России по Хабаровскому Краю в Железнодорожном районе г.Хабаровска</t>
  </si>
  <si>
    <t>072-507-068 47</t>
  </si>
  <si>
    <t>Центральным РОВД Новокузнецкого УВД Кемеровской области</t>
  </si>
  <si>
    <t>040-372-607 17</t>
  </si>
  <si>
    <t>Межрайонным отделением №2 УФМС России по Архангельской области и Ненецкому Автономному округу в г.Архангельске</t>
  </si>
  <si>
    <t>043-026-570 15</t>
  </si>
  <si>
    <t xml:space="preserve">УВД Октябрьского  района города Новосибирска </t>
  </si>
  <si>
    <t>106-958-891 03</t>
  </si>
  <si>
    <t xml:space="preserve">Отделением УФМС России по Красноярскому Краю в Центральном районе гор.Красноярска </t>
  </si>
  <si>
    <t>032-985-629 82</t>
  </si>
  <si>
    <t>ОВД"Черемушки" гор.Москвы</t>
  </si>
  <si>
    <t>048-868-983 42</t>
  </si>
  <si>
    <t>Отделом Внутренних Дел Центрального района города Воронежа</t>
  </si>
  <si>
    <t>034-878-894 11</t>
  </si>
  <si>
    <t>2 отделением милиции УВД Индустриального р-на гор.Хабаровска</t>
  </si>
  <si>
    <t>040-169-024 11</t>
  </si>
  <si>
    <t>Управлением Внутренних Дел Кировского района города Самары</t>
  </si>
  <si>
    <t>021-491-127 09</t>
  </si>
  <si>
    <t xml:space="preserve">Отделением УФМС России по гор.Москве по району Матушкино </t>
  </si>
  <si>
    <t>004-488-988 74</t>
  </si>
  <si>
    <t>Отделением по району Марьинский парк ОУФМС России по гор.Москве в ЮВАО</t>
  </si>
  <si>
    <t>011-228-621 92</t>
  </si>
  <si>
    <t>Еланским РОВД Волгоградской области</t>
  </si>
  <si>
    <t>130-265-456 22</t>
  </si>
  <si>
    <t>Паспортным столом №1 ОВД района "Вешняки" гор. Москвы</t>
  </si>
  <si>
    <t>025-730-268 33</t>
  </si>
  <si>
    <t xml:space="preserve">УВД Центрального района города Новосибирска </t>
  </si>
  <si>
    <t>012-502-279 89</t>
  </si>
  <si>
    <t>Управлением внутренних дел Кировского района города Самары</t>
  </si>
  <si>
    <t>018-906-196 68</t>
  </si>
  <si>
    <t>Отделом УФМС России по Приморскому краю в Ленинском р-не гор.Владивостока</t>
  </si>
  <si>
    <t>042-495-887 81</t>
  </si>
  <si>
    <t>Управлением внутренних дел города Майкопа Республики Адыгея</t>
  </si>
  <si>
    <t>060-077-034 20</t>
  </si>
  <si>
    <t>015-605-485 31</t>
  </si>
  <si>
    <t>Отделением УФМС России по гор.Москве по району Южное Тушино</t>
  </si>
  <si>
    <t>011-724-291 07</t>
  </si>
  <si>
    <t xml:space="preserve">Отделом Внутренних дел Октябрьского района гор. Саратова </t>
  </si>
  <si>
    <t>042-150-588 15</t>
  </si>
  <si>
    <t>Отделом УФМС России по Республике Татарстан в Вахитовском районе г.Казани</t>
  </si>
  <si>
    <t>027-657-840 85</t>
  </si>
  <si>
    <t>УВД Советского р-на гор.Нижнего Новгорода</t>
  </si>
  <si>
    <t>006-181-715 19</t>
  </si>
  <si>
    <t>Отделом УФМС России по Хабаровскому краю в центральном р-не гор.Хабаровка</t>
  </si>
  <si>
    <t>055-978-917 30</t>
  </si>
  <si>
    <t>ОВД Района Лианозово города Москвы</t>
  </si>
  <si>
    <t>009-088-225 49</t>
  </si>
  <si>
    <t>Отделом УФМС России по гор.Москве по району Измаилово</t>
  </si>
  <si>
    <t>038-863-747 04</t>
  </si>
  <si>
    <t>Химкинским УВД  Московской области</t>
  </si>
  <si>
    <t>022-652-230 10</t>
  </si>
  <si>
    <t>3 отделом милиции Подольского  УВД Московской области</t>
  </si>
  <si>
    <t>042-296-696 68</t>
  </si>
  <si>
    <t xml:space="preserve">ТП №1 отдела УФМС России по Санкт-Петербургу  и Ленинградской  обл.в Адмиралтейском р-не гор. Санкт-Петербурга </t>
  </si>
  <si>
    <t>009-565-679 83</t>
  </si>
  <si>
    <t>42 отделом милиции Красносельского района Санкт-Петербурга</t>
  </si>
  <si>
    <t>026-084-438 39</t>
  </si>
  <si>
    <t>Отделением по району Новогиреево ОУФМС России по городу Москве в ВАО</t>
  </si>
  <si>
    <t>115-881-992 90</t>
  </si>
  <si>
    <t>Отделением по району Вешняки ОУФМС России по гор.Москве в ВАО</t>
  </si>
  <si>
    <t>024-970-458 62</t>
  </si>
  <si>
    <t>022-652-295 27</t>
  </si>
  <si>
    <t>ТП№139 Отдела УФМС России по Санкт-Петербургу и Ленинградской обл. в Центральном р-не гор.Санкт-Петербурга</t>
  </si>
  <si>
    <t>009-493-927 81</t>
  </si>
  <si>
    <t>УВД Вахитовского района гор.Казани</t>
  </si>
  <si>
    <t>029-686-278 05</t>
  </si>
  <si>
    <t>УВД Свердловского района г. Перми</t>
  </si>
  <si>
    <t>060-502-018 96</t>
  </si>
  <si>
    <t>Отделом УФМС России по Республике Башкортостан в Советском районе города Уфы</t>
  </si>
  <si>
    <t>018-513-536 37</t>
  </si>
  <si>
    <t>011-718-440 13</t>
  </si>
  <si>
    <t xml:space="preserve">ТП №59 отдела УФМС России по Санкт-Петербургу иЛенингадской обл.в Петроградском р-не г.Санкт-Петербурга </t>
  </si>
  <si>
    <t>059-242-549 74</t>
  </si>
  <si>
    <t>ТП№53 отдела УФМС России по Санкт-Петербургу иЛенинградской обл.в Невском р-не гор.Санкт-Петербурга</t>
  </si>
  <si>
    <t>068-725-761 08</t>
  </si>
  <si>
    <t xml:space="preserve">Управлением Внутренних  дел города Серова Свердловской области </t>
  </si>
  <si>
    <t>133-187-580 58</t>
  </si>
  <si>
    <t xml:space="preserve">32 отделом милиции Невского района Санкт-Петербурга </t>
  </si>
  <si>
    <t>117-327-884 65</t>
  </si>
  <si>
    <t>ОУФМС России по Приморскому Краю в Советском районе гор.Владивостока</t>
  </si>
  <si>
    <t>042-433-029 09</t>
  </si>
  <si>
    <t>отделением УФМС России по гор.Москве по району Ломоносовский</t>
  </si>
  <si>
    <t>033-800-935 30</t>
  </si>
  <si>
    <t>ТП№1 ОУФМС России по Московской области в г. Железнодорожном</t>
  </si>
  <si>
    <t>001-807-217 98</t>
  </si>
  <si>
    <t>Отделом УФМС по Республике Башкортостан</t>
  </si>
  <si>
    <t>037-235-227 36</t>
  </si>
  <si>
    <t xml:space="preserve">73 отделом  милиции Фрунзенского района Санкт-Петербурга </t>
  </si>
  <si>
    <t>021-236-356 99</t>
  </si>
  <si>
    <t>ТП в ПТГ Скуратовский ОУФМС России по Тульской обл. в Центральном  р-не города Тулы</t>
  </si>
  <si>
    <t>034-039-161 18</t>
  </si>
  <si>
    <t xml:space="preserve">28 отделом милиции Центрального района Санкт-Петербурга </t>
  </si>
  <si>
    <t>014-065-058 03</t>
  </si>
  <si>
    <t xml:space="preserve">Управлением Внутренних дел Советского района города Красноярска </t>
  </si>
  <si>
    <t>137-294-312 67</t>
  </si>
  <si>
    <t>025-894-837 96</t>
  </si>
  <si>
    <t>ОВД"Щукино" гор.Москвы</t>
  </si>
  <si>
    <t>030-711-236 93</t>
  </si>
  <si>
    <t>УВД Псковской области</t>
  </si>
  <si>
    <t>005-939-692 77</t>
  </si>
  <si>
    <t>Коммунарским отделением милиции Гатчинского района Ленинградской области</t>
  </si>
  <si>
    <t>083-409-641 71</t>
  </si>
  <si>
    <t xml:space="preserve">Паспортно-Визовое  отделение ОВД района Коньково г.Москвы </t>
  </si>
  <si>
    <t>016-464-270 39</t>
  </si>
  <si>
    <t xml:space="preserve">Отделом Внутренних дел Железнодорожного района гор.Барнаула </t>
  </si>
  <si>
    <t>072-790-977 03</t>
  </si>
  <si>
    <t xml:space="preserve">Отделом Внутренних Дел "Ивановское" города Москвы </t>
  </si>
  <si>
    <t>011-718-370 16</t>
  </si>
  <si>
    <t>Отделом УФМС России по гор.Москве по району Коньково</t>
  </si>
  <si>
    <t>011-718-365 19</t>
  </si>
  <si>
    <t>Ленинским ОВД гор.Перми</t>
  </si>
  <si>
    <t>053-780-081 59</t>
  </si>
  <si>
    <t>009-493-930 76</t>
  </si>
  <si>
    <t>Ватутинским городским отделением милиции Ленинского района Московской области</t>
  </si>
  <si>
    <t>042-307-742 22</t>
  </si>
  <si>
    <t xml:space="preserve">66 отделом милиции Красногвардейского района Санкт-Петербурга </t>
  </si>
  <si>
    <t>048-286-586 00</t>
  </si>
  <si>
    <t>3 ГОВД города Мытищи Московской области</t>
  </si>
  <si>
    <t>016-685-320 58</t>
  </si>
  <si>
    <t>Орджоникидзевским РУВД гор.Уфы Респ.Башкортостан</t>
  </si>
  <si>
    <t>016-997-023 83</t>
  </si>
  <si>
    <t xml:space="preserve">Химкинским УВД Московской области </t>
  </si>
  <si>
    <t>030-711-280 97</t>
  </si>
  <si>
    <t>Отделом УФМС России по Воронежской области в Левобережном районе г.Воронежа</t>
  </si>
  <si>
    <t>070-533-702 35</t>
  </si>
  <si>
    <t>Отделением по району Бабушкинский ОУФМС России  по гор.Москве в СВАО</t>
  </si>
  <si>
    <t>023-320-874 06</t>
  </si>
  <si>
    <t>ТП №14  Отдела УФМС России по Санкт-Петербургу и Ленинградской обл.в Выборгском р-не гор.Санкт-Петербурга</t>
  </si>
  <si>
    <t>046-132-963 44</t>
  </si>
  <si>
    <t xml:space="preserve">Отделом Внутренних  дел Октябрьского района гор.Саратова </t>
  </si>
  <si>
    <t>042-052-962 19</t>
  </si>
  <si>
    <t xml:space="preserve">ОВД Тропарево-Никулино города Москвы </t>
  </si>
  <si>
    <t>127-167-275 62</t>
  </si>
  <si>
    <t>ОУФМС России по Саратовской обл. в Октябрьском р-не гор. Саратова</t>
  </si>
  <si>
    <t>071-576-481 80</t>
  </si>
  <si>
    <t>ОУФМС России по Самарской области в Промышленном районе гор. Самары</t>
  </si>
  <si>
    <t>021-489-447 49</t>
  </si>
  <si>
    <t>ОВД"Чертаново-Южное" г.Москвы</t>
  </si>
  <si>
    <t>026-706-279 52</t>
  </si>
  <si>
    <t>Отделом УФМС России по Республике Карелия в городе Петрозаводске</t>
  </si>
  <si>
    <t>100-838-677 42</t>
  </si>
  <si>
    <t>51 отделом милиции Московского района Санкт-Петербурга</t>
  </si>
  <si>
    <t>013-257-263 14</t>
  </si>
  <si>
    <t>Отделом УФМС России по Ярославской области во Фрунзенском районе гор.Ярославля</t>
  </si>
  <si>
    <t>049-726-675 06</t>
  </si>
  <si>
    <t>023-918-001 28</t>
  </si>
  <si>
    <t>ОВД"Черемушки" г.Москвы</t>
  </si>
  <si>
    <t>025-146-787 44</t>
  </si>
  <si>
    <t>Отделом УФМС России по Краснодарскому Краю в Прикубанском округе гор.Краснодара</t>
  </si>
  <si>
    <t>014-384-618 37</t>
  </si>
  <si>
    <t>РУВД Советского р-на гор.Нижнего Новгорода</t>
  </si>
  <si>
    <t>078-858-591 49</t>
  </si>
  <si>
    <t>Московским отделом милиции Советского округа города Липецка</t>
  </si>
  <si>
    <t>039-834-520 84</t>
  </si>
  <si>
    <t>Отдел милиции Кировского РУВД  г. Екатеринбурга</t>
  </si>
  <si>
    <t>025-935-442 61</t>
  </si>
  <si>
    <t xml:space="preserve">Отделом милиции Кировского РУВД города Екатеринбурга </t>
  </si>
  <si>
    <t>033-573-885 66</t>
  </si>
  <si>
    <t>Центральным ОВД г.Волгограда</t>
  </si>
  <si>
    <t>068-162-974 92</t>
  </si>
  <si>
    <t>Московским РОВД гор.Твери</t>
  </si>
  <si>
    <t>058-476-987 27</t>
  </si>
  <si>
    <t>Ленинским РОВД города Воронежа</t>
  </si>
  <si>
    <t>034-878-991 11</t>
  </si>
  <si>
    <t>ОВД Советского района города Новосибирска</t>
  </si>
  <si>
    <t>071-048-519 40</t>
  </si>
  <si>
    <t>Краснофлотским РОВД гор.Хабаровска</t>
  </si>
  <si>
    <t>029-961-091 85</t>
  </si>
  <si>
    <t>042-313-629 11</t>
  </si>
  <si>
    <t xml:space="preserve">Паспортно-Визовым отделением ОВД Тверского района города Москвы </t>
  </si>
  <si>
    <t>044-507-316 34</t>
  </si>
  <si>
    <t>049-976-379 38</t>
  </si>
  <si>
    <t xml:space="preserve">Управлением Внутренних дел Центрального района Хабаровска </t>
  </si>
  <si>
    <t>071-378-343 67</t>
  </si>
  <si>
    <t>Тутаевским ГОВД Ярославской обл.</t>
  </si>
  <si>
    <t>056-341-051 34</t>
  </si>
  <si>
    <t xml:space="preserve">ОВД  Головинского района города Москвы </t>
  </si>
  <si>
    <t>001-379-640 21</t>
  </si>
  <si>
    <t>Ленинским РВД гор.Владивостока</t>
  </si>
  <si>
    <t>042-532-073 15</t>
  </si>
  <si>
    <t xml:space="preserve">Отделом УФМС России по Краснодарскому краю в западном округе гор. Краснодара </t>
  </si>
  <si>
    <t>030-392-668 32</t>
  </si>
  <si>
    <t xml:space="preserve">Управлением Внутренних дел Центрального района г.Хабаровска </t>
  </si>
  <si>
    <t>028-742-882 83</t>
  </si>
  <si>
    <t>ТП №37 отдела УФМС России по Санкт-Петербургу и Ленинградской обл. в Красногвардейском р-не г. Санкт--Петербурга</t>
  </si>
  <si>
    <t>004-103-090 64</t>
  </si>
  <si>
    <t>Втором отделом милиции УВД г.Новочеркасска Ростовской обл.</t>
  </si>
  <si>
    <t>035-590-171 51</t>
  </si>
  <si>
    <t>Отделением по району Академический ОУФМС России по Г. Москве в ЮЗАО</t>
  </si>
  <si>
    <t>021-359-273 24</t>
  </si>
  <si>
    <t xml:space="preserve">Отделом милиции Верх-Исетского  РУВД  города Екатеринбурга </t>
  </si>
  <si>
    <t>036-404-215 18</t>
  </si>
  <si>
    <t xml:space="preserve">Миграционный пункт №101 отдела УФМС России по Санкт-Петербургу и Ленинградской обл.в Выборгском р-не </t>
  </si>
  <si>
    <t>015-080-858 24</t>
  </si>
  <si>
    <t>Перворченским РОВД гор.Владивостока</t>
  </si>
  <si>
    <t>042-405-440 09</t>
  </si>
  <si>
    <t>Управлением внутренних дел Великого Новгорода</t>
  </si>
  <si>
    <t>136-641-474 64</t>
  </si>
  <si>
    <t xml:space="preserve">34 Отделом Милиции Приморского района Санкт-Петербурга </t>
  </si>
  <si>
    <t>027-089-035 51</t>
  </si>
  <si>
    <t>Отделом УФМС России по Самарской области в Промышленном районе гор.Самары</t>
  </si>
  <si>
    <t>008-404-196 22</t>
  </si>
  <si>
    <t>Управлением внутренних дел Советского района гор.Владивостока</t>
  </si>
  <si>
    <t>140-988-080 82</t>
  </si>
  <si>
    <t xml:space="preserve">Управлением Внутренних дел Железнодорожного района города Хабаровска </t>
  </si>
  <si>
    <t>055-978-903 24</t>
  </si>
  <si>
    <t>ОВД Железнодорожного района г. Барнаула Алтайского края</t>
  </si>
  <si>
    <t>033-073-379 23</t>
  </si>
  <si>
    <t xml:space="preserve">Паспортным столом №1 УВД Красногорского района Московской области </t>
  </si>
  <si>
    <t>055-710-030 27</t>
  </si>
  <si>
    <t>ТП №2 Межрайонного ОУФМС России по Московской обл. в городском округе  Королев</t>
  </si>
  <si>
    <t>002-010-421 36</t>
  </si>
  <si>
    <t xml:space="preserve">2 Отделом Внутренних дел города Якутска </t>
  </si>
  <si>
    <t>031-603-512 98</t>
  </si>
  <si>
    <t>Первомайским РОВД гор.Кирова</t>
  </si>
  <si>
    <t>043-427-651 43</t>
  </si>
  <si>
    <t>Отделом УФМС России по Краснодарскому краю в Прикубанском округе гор.Краснодара</t>
  </si>
  <si>
    <t>096-137-301 72</t>
  </si>
  <si>
    <t>Нововоронежским ГОВД Воронежской области</t>
  </si>
  <si>
    <t>074-859-766 30</t>
  </si>
  <si>
    <t>ТП №10 Отдела УФМС России по Санкт-Петербургу  и Ленинградской обл.в Выборгском р-не гор.Санкт-Петербурга</t>
  </si>
  <si>
    <t>086-026-837 76</t>
  </si>
  <si>
    <t xml:space="preserve">ТП №1 ОУФМС России по Московской обл. по Ленинскому Муниципальному р-ну </t>
  </si>
  <si>
    <t>038-741-434 67</t>
  </si>
  <si>
    <t>Первомайским УВД Советского административного округа города Омска</t>
  </si>
  <si>
    <t>062-735-612 60</t>
  </si>
  <si>
    <t>ОУФМС России по Пермскому краю в Индустриальном районе города Перми</t>
  </si>
  <si>
    <t>079-496-285 37</t>
  </si>
  <si>
    <t>Отделением по району Теплый Стан ОУФМС России по гор.Москве в ЮЗАО</t>
  </si>
  <si>
    <t>022-468-398 50</t>
  </si>
  <si>
    <t xml:space="preserve">Ильинским Отделением Милиции Красногорского района Московской области </t>
  </si>
  <si>
    <t>041-107-455 00</t>
  </si>
  <si>
    <t>053-463-177 50</t>
  </si>
  <si>
    <t>1 ГОМ УВД Люберецкого района Московской области</t>
  </si>
  <si>
    <t>108-491-341 55</t>
  </si>
  <si>
    <t>Отделением по району Митино ОУФМС России по гор. Москве</t>
  </si>
  <si>
    <t>136-932-994 00</t>
  </si>
  <si>
    <t>ОВД Знаменского района Тамбовской области</t>
  </si>
  <si>
    <t>030-687-506 48</t>
  </si>
  <si>
    <t>Отделом УФМС России по Чувашской Республике в Московском районе гор.Чебоксары</t>
  </si>
  <si>
    <t>005-604-840 18</t>
  </si>
  <si>
    <t xml:space="preserve">ТП№11 Отдела УФМС России по Санкт-Петербургу и Ленинградской обл. в Выборгском р-не г.Санкт-Петербурга </t>
  </si>
  <si>
    <t>014-998-585 01</t>
  </si>
  <si>
    <t xml:space="preserve">ТП в пос.Немчиновке ОУФМС России по Московской обл. в Одинцовском р-не </t>
  </si>
  <si>
    <t>070-853-519 66</t>
  </si>
  <si>
    <t>025-894-928 98</t>
  </si>
  <si>
    <t xml:space="preserve">Отделением УФМС России по гор.Москве  по району Замоскворечье </t>
  </si>
  <si>
    <t>034-833-091 45</t>
  </si>
  <si>
    <t xml:space="preserve">Паспортно-Визовым отделением ОВД района Замоскворечье города Москвы </t>
  </si>
  <si>
    <t>016-464-584 54</t>
  </si>
  <si>
    <t xml:space="preserve">Чкаловским РУВД  города Екатеринбурга </t>
  </si>
  <si>
    <t>021-775-783 59</t>
  </si>
  <si>
    <t>ОВД Кузьминки  гор.Москвы</t>
  </si>
  <si>
    <t>025-441-303 10</t>
  </si>
  <si>
    <t xml:space="preserve">ТП №10 отдела УФМС России по Санкт-Петербургу  и Ленинградской обл. в Выборгском  р-не гор. Санкт-Петерурга </t>
  </si>
  <si>
    <t>171-528-869 88</t>
  </si>
  <si>
    <t>Отделением  по району Преображенское  ОУФМС России по гор.Москве в ВАО</t>
  </si>
  <si>
    <t>010-254-729 95</t>
  </si>
  <si>
    <t>Отделом Внутренних Дел Гагаринского района города  Москвы</t>
  </si>
  <si>
    <t>011-221-161 57</t>
  </si>
  <si>
    <t>о-нием в городском округе Долгопрудный межрайонного ОУФМС России по Московской обл. в гор.поселении Мытищи</t>
  </si>
  <si>
    <t>014-616-691 37</t>
  </si>
  <si>
    <t>Отделом УФМС России по Кемеровской области в Ленинском районе  города Кемерово</t>
  </si>
  <si>
    <t>030-979-075 67</t>
  </si>
  <si>
    <t>ТП№56 Отдела УФМС России по Санкт-Петербургу и Ленинградской области в Невском р-не гор.Санкт-Петербурга</t>
  </si>
  <si>
    <t>078-017-620 66</t>
  </si>
  <si>
    <t>011-718-458 23</t>
  </si>
  <si>
    <t>ОУФМС России по Волгоградской области в Тракторозаводском  районе гор.Волгограда</t>
  </si>
  <si>
    <t>021-475-479 36</t>
  </si>
  <si>
    <t>УВД г.Вологды</t>
  </si>
  <si>
    <t>047-024-755 42</t>
  </si>
  <si>
    <t>ОВД Железнодорожного района города Новосибирска</t>
  </si>
  <si>
    <t>066-408-820 73</t>
  </si>
  <si>
    <t>Отделением Юбилейный-Болшево ОУФМС России по Московской области в гор.Королёве</t>
  </si>
  <si>
    <t>011-718-637 24</t>
  </si>
  <si>
    <t>Орджоникидзевским РОВД гор.Перми</t>
  </si>
  <si>
    <t>122-190-247 10</t>
  </si>
  <si>
    <t xml:space="preserve">Отделение УФМС России по гор.Москве по району Сокольники </t>
  </si>
  <si>
    <t>065-044-047 33</t>
  </si>
  <si>
    <t>3 отделом милиции Орехово-Зуевского УВД Московской области</t>
  </si>
  <si>
    <t>036-279-492 80</t>
  </si>
  <si>
    <t>ТП№6 Межрайонного ОУФМС России по Московской обл. в городском поселении Люберцы</t>
  </si>
  <si>
    <t>037-922-004 48</t>
  </si>
  <si>
    <t>Отделением №1 Межрайонного отдела УФМС России по Ростовской области в г.Ростове-на-Дону</t>
  </si>
  <si>
    <t>030-098-309 18</t>
  </si>
  <si>
    <t>Отделением УФМС России по гор. Москве по району Тверской</t>
  </si>
  <si>
    <t>009-088-216 48</t>
  </si>
  <si>
    <t>77 Отделом Адмиралтейского  района Санкт-Петербурга</t>
  </si>
  <si>
    <t>009-745-231 57</t>
  </si>
  <si>
    <t>ОВД"Якиманка"</t>
  </si>
  <si>
    <t>029-913-653 80</t>
  </si>
  <si>
    <t>25 отделом милиции Приморского района Санкт-Петербурга</t>
  </si>
  <si>
    <t>030-185-905 21</t>
  </si>
  <si>
    <t>Паспортным столом №1 ОВД "Коньково" г.Москвы</t>
  </si>
  <si>
    <t>011-237-909 05</t>
  </si>
  <si>
    <t>015-605-488 34</t>
  </si>
  <si>
    <t>ОВД района Марьинскийпарк города Москвы</t>
  </si>
  <si>
    <t>040-908-660 47</t>
  </si>
  <si>
    <t>Отделением по р-ну Гагаринский ОУФМС России по гор.Москве  в ЮЗАО</t>
  </si>
  <si>
    <t>001-568-073 15</t>
  </si>
  <si>
    <t>Отделением УФМС России по Пермскому краю в Ленинском районе города Перми</t>
  </si>
  <si>
    <t>061-234-722 24</t>
  </si>
  <si>
    <t xml:space="preserve">ТП №отдела УФМС России по Санкт-Петербургу и Ленинградской обл. в Выборгском р-не г.Санкт-Петербурга </t>
  </si>
  <si>
    <t>036-747-115 65</t>
  </si>
  <si>
    <t>ТП №26 Отдела УФМС России по Санкт-Петербургу и Ленинградской обл. в Кировском р-не гор.Санкт-Петербурга</t>
  </si>
  <si>
    <t>013-800-289 07</t>
  </si>
  <si>
    <t xml:space="preserve">Отделением УФМС России по Республике Татарстан в Лаишевском районе </t>
  </si>
  <si>
    <t>055-182-946 69</t>
  </si>
  <si>
    <t xml:space="preserve">ТП№35 отдела УФМС России по Санкт-Петербургу  и Ленинградской обл. в Красногвардейском  р-не г. Санкт-Петербурга </t>
  </si>
  <si>
    <t>134-756-163 69</t>
  </si>
  <si>
    <t>Отделом Внутренних дел Сунженского района Республики Ингушетия</t>
  </si>
  <si>
    <t>049-275-664 95</t>
  </si>
  <si>
    <t xml:space="preserve">Управлением Внутренних дел Свердловского района города Иркутска </t>
  </si>
  <si>
    <t>036-641-401 38</t>
  </si>
  <si>
    <t>Советским РУВД гор.Уфы респ.Башкортостан</t>
  </si>
  <si>
    <t>046-950-449 81</t>
  </si>
  <si>
    <t>019-649-140 73</t>
  </si>
  <si>
    <t>Отделением по району Свиблово ОУФМС России по гор.Москве в СВАО</t>
  </si>
  <si>
    <t>010-457-310 96</t>
  </si>
  <si>
    <t xml:space="preserve">27 Отделом милиции Центрального района  Санкт-Петербурга </t>
  </si>
  <si>
    <t>180-606-638 64</t>
  </si>
  <si>
    <t xml:space="preserve">Отделом УФМС России по Оренбурской области в  Ленинском районе г.Оренбурга </t>
  </si>
  <si>
    <t>056-245-688 75</t>
  </si>
  <si>
    <t xml:space="preserve">Отделом УФМС России по гор.Москве по району Басманный </t>
  </si>
  <si>
    <t>129-722-456 75</t>
  </si>
  <si>
    <t>Отделом Внутренних Дел Белоглинского района Краснодарского Края</t>
  </si>
  <si>
    <t>021-147-546 05</t>
  </si>
  <si>
    <t>Московским отделом внутренних дел города Твери</t>
  </si>
  <si>
    <t>020-277-861 27</t>
  </si>
  <si>
    <t>РОВД"Покровское-Стрешнево"</t>
  </si>
  <si>
    <t>134-933-573 73</t>
  </si>
  <si>
    <t>Советским РОВД города Рязани</t>
  </si>
  <si>
    <t>031-230-490 88</t>
  </si>
  <si>
    <t>040-548-103 19</t>
  </si>
  <si>
    <t>Отделом УФМС России по Красноярскому краю в Советском р-не гор.Красноярска</t>
  </si>
  <si>
    <t>070-491-161 44</t>
  </si>
  <si>
    <t>3 отделом милиции Калининского района Санкт-Петербурга</t>
  </si>
  <si>
    <t>068-578-914 32</t>
  </si>
  <si>
    <t>3 отделом внутренних дел Мытищинского УВД Московской области</t>
  </si>
  <si>
    <t>097-831-378 17</t>
  </si>
  <si>
    <t>015-072-833 18</t>
  </si>
  <si>
    <t>Отделом УФМС России по гор.Москве по району Марьино</t>
  </si>
  <si>
    <t>034-180-754 32</t>
  </si>
  <si>
    <t xml:space="preserve">Ставропольским РОВД Самарской обл. </t>
  </si>
  <si>
    <t>141-942-651 58</t>
  </si>
  <si>
    <t>011-964-985 62</t>
  </si>
  <si>
    <t xml:space="preserve">68 отделом милиции Московского района Санкт-Петербурга </t>
  </si>
  <si>
    <t>040-546-379 37</t>
  </si>
  <si>
    <t xml:space="preserve">3 отделом милиции Калининского района Санкт-Петербурга </t>
  </si>
  <si>
    <t>055-866-352 97</t>
  </si>
  <si>
    <t>023-302-455 90</t>
  </si>
  <si>
    <t>Отделом УФМС России по гор.Москве по району Перово</t>
  </si>
  <si>
    <t>011-709-009 01</t>
  </si>
  <si>
    <t>Отделом Внутренних дел гор.Свободного и Свободненского района Амурской области</t>
  </si>
  <si>
    <t>059-411-229 54</t>
  </si>
  <si>
    <t>Красноперекопским РОВД гор.Ярославля</t>
  </si>
  <si>
    <t>048-113-653 41</t>
  </si>
  <si>
    <t xml:space="preserve">1 отделом милиции Одинцовского УВД Московской области </t>
  </si>
  <si>
    <t>013-729-102 21</t>
  </si>
  <si>
    <t>006-242-533 05</t>
  </si>
  <si>
    <t>Отделением УФМС России по гор.Москве по району Очаково-Матвеевское</t>
  </si>
  <si>
    <t>017-163-609 31</t>
  </si>
  <si>
    <t>Кировским РОВД гор.Астрахани</t>
  </si>
  <si>
    <t>040-514-571 12</t>
  </si>
  <si>
    <t>Отделом УФМС России по Удмурской Республике в Октябрьском р-не гор.Ижевска</t>
  </si>
  <si>
    <t>059-826-673 18</t>
  </si>
  <si>
    <t>ОВД Озерского района Московской области</t>
  </si>
  <si>
    <t>121-215-631 94</t>
  </si>
  <si>
    <t xml:space="preserve">Отделом УФМС России по Республике Мордовия в Ленинском районе  гор.Саранска </t>
  </si>
  <si>
    <t>011-016-080 60</t>
  </si>
  <si>
    <t>ОВД Мещанский УВД ЦАО г. Москвы</t>
  </si>
  <si>
    <t>001-371-229 83</t>
  </si>
  <si>
    <t xml:space="preserve">Отделением УФМС России по Костромской области в Фабричном округе  гор.Костромы  </t>
  </si>
  <si>
    <t>027-388-981 98</t>
  </si>
  <si>
    <t xml:space="preserve">Кировским РУВД города Екатеринбурга </t>
  </si>
  <si>
    <t>021-762-070 16</t>
  </si>
  <si>
    <t>УВД Центрального района города Челябинска</t>
  </si>
  <si>
    <t>015-163-100 94</t>
  </si>
  <si>
    <t xml:space="preserve">УВД Ново-Савинского  района гор.Казани </t>
  </si>
  <si>
    <t>039-649-880 17</t>
  </si>
  <si>
    <t>ОВД р-на Обручевский г. Москвы</t>
  </si>
  <si>
    <t>004-748-582 54</t>
  </si>
  <si>
    <t>Отделом Внутренних Дел Фрунзенского района гор. Саратова</t>
  </si>
  <si>
    <t>051-825-793 66</t>
  </si>
  <si>
    <t>Отделом УФМС России по Ставропольскому краю в Промышленном районе г.Ставрополя</t>
  </si>
  <si>
    <t>007-129-361 22</t>
  </si>
  <si>
    <t>ТП №25 отдела УФМС России по Санкт-Петербургу и Ленинградской обл. в Кировском р-не г.Санкт-Петербурга</t>
  </si>
  <si>
    <t>067-360-548 75</t>
  </si>
  <si>
    <t>Паспортным столом №1 УВД Красногорского района Московской области</t>
  </si>
  <si>
    <t>007-989-101 82</t>
  </si>
  <si>
    <t xml:space="preserve">77Отделом милиции Адмиралтейского района  Санкт -Петербурга </t>
  </si>
  <si>
    <t>065-149-699 89</t>
  </si>
  <si>
    <t xml:space="preserve">76 Отделом Милиции Центрального района Санкт-Петербурга </t>
  </si>
  <si>
    <t>068-024-432 49</t>
  </si>
  <si>
    <t>Отделом милиции №3 УВД гор.Костромы</t>
  </si>
  <si>
    <t>052-003-855 04</t>
  </si>
  <si>
    <t>ОУФМС России по Краснодарскому Краю в Прикубанском округе гор.Краснодара</t>
  </si>
  <si>
    <t>003-264-796 23</t>
  </si>
  <si>
    <t xml:space="preserve">76 отделом милиции центрального района Санкт-Петербурга </t>
  </si>
  <si>
    <t>016-886-146 78</t>
  </si>
  <si>
    <t>ОВД Советского р-на гор.Ростова-на-Дону</t>
  </si>
  <si>
    <t>029-297-820 91</t>
  </si>
  <si>
    <t xml:space="preserve">Городским отделом милиции №1 УВД Ленинского АО города Тюмени </t>
  </si>
  <si>
    <t>108-100-614 95</t>
  </si>
  <si>
    <t>Управлением Внутренних дел Железнодорожного района г.Хабаровска</t>
  </si>
  <si>
    <t>033-500-107 85</t>
  </si>
  <si>
    <t>Отделом внутренних дел Промышленного района города Ставрополя</t>
  </si>
  <si>
    <t>094-553-190 87</t>
  </si>
  <si>
    <t>Управлением Внутренних Дел Свердловского района города Иркутска</t>
  </si>
  <si>
    <t>080-489-075 82</t>
  </si>
  <si>
    <t xml:space="preserve">Отделом УФМС России по Свердловской области в Кировском р-не гор.Екатеринбурга </t>
  </si>
  <si>
    <t>016-632-775 48</t>
  </si>
  <si>
    <t>Отделом УФМС России по Самарской области в Советском районе гор.Самары</t>
  </si>
  <si>
    <t>053-706-029 39</t>
  </si>
  <si>
    <t>ОУФМС России по Рязанской области в Советском районе гор. Рязани</t>
  </si>
  <si>
    <t>027-879-571 12</t>
  </si>
  <si>
    <t>011-515-400 82</t>
  </si>
  <si>
    <t xml:space="preserve">Управлением внутренних дел Всеволожского района Ленинградской области </t>
  </si>
  <si>
    <t>072-914-415 63</t>
  </si>
  <si>
    <t>Отделением по району Северное Бутово ОУФМС России по гор.Москве в ЮЗАО</t>
  </si>
  <si>
    <t>010-457-314 00</t>
  </si>
  <si>
    <t>Отделом внутренних дел Центрального района г.Барнаула</t>
  </si>
  <si>
    <t>053-761-088 60</t>
  </si>
  <si>
    <t xml:space="preserve">Отделом УФМС России по Московской области в Павлово-Посадском районе </t>
  </si>
  <si>
    <t>142-768-153 74</t>
  </si>
  <si>
    <t>Управлением внутренних дел г.Петрозаводска</t>
  </si>
  <si>
    <t>070-319-066 32</t>
  </si>
  <si>
    <t>УВД Центрального района города Сочи Краснодарского края</t>
  </si>
  <si>
    <t>126-909-710 79</t>
  </si>
  <si>
    <t xml:space="preserve">ОтделомУФМС России по Алтайскому краю  в центральном районе г.Барнаула </t>
  </si>
  <si>
    <t>039-471-010 51</t>
  </si>
  <si>
    <t>Отделом №1 УФМС России по Кабардино-Балкарской Республике  в гор.Нальчике</t>
  </si>
  <si>
    <t>060-414-707 20</t>
  </si>
  <si>
    <t>УВД Советского района гор.Казани</t>
  </si>
  <si>
    <t>049-708-406 86</t>
  </si>
  <si>
    <t>Отделом УФМС Россиипо Кемеровской области в Ленинском районе города Кемерово</t>
  </si>
  <si>
    <t>070-335-056 24</t>
  </si>
  <si>
    <t xml:space="preserve">Отделом внутренних дел района Аэропорт города Москвы </t>
  </si>
  <si>
    <t>011-718-636 23</t>
  </si>
  <si>
    <t>024-970-649 67</t>
  </si>
  <si>
    <t>053-780-272 64</t>
  </si>
  <si>
    <t xml:space="preserve">Отделением УФМС России по гор.Москве по району Тимирязевский </t>
  </si>
  <si>
    <t>065-044-046 32</t>
  </si>
  <si>
    <t>УВД гор.Магадана</t>
  </si>
  <si>
    <t>060-105-470 00</t>
  </si>
  <si>
    <t>009-088-252 52</t>
  </si>
  <si>
    <t xml:space="preserve">УВД Советского района гор.Казани </t>
  </si>
  <si>
    <t>029-546-804 80</t>
  </si>
  <si>
    <t xml:space="preserve">44 отделом милиции Приморского района Санкт-Петербурга </t>
  </si>
  <si>
    <t>017-280-638 40</t>
  </si>
  <si>
    <t>ТП №22 Отдела УФМС России по Санкт-Петербургу и Ленинградской обл. в Калининском р-не гор. Санкт-Петербурга</t>
  </si>
  <si>
    <t>128-995-736 31</t>
  </si>
  <si>
    <t xml:space="preserve">Отделом УФМС России по Чеченской Республике в Заводском р-не гор.Грозного </t>
  </si>
  <si>
    <t>121-959-919 84</t>
  </si>
  <si>
    <t xml:space="preserve">Управлением Внутренних Дел гор.Петразаводска </t>
  </si>
  <si>
    <t>088-749-224 30</t>
  </si>
  <si>
    <t>504102936985</t>
  </si>
  <si>
    <t>540222478686</t>
  </si>
  <si>
    <t>780405149961</t>
  </si>
  <si>
    <t>910227561428</t>
  </si>
  <si>
    <t>780405298723</t>
  </si>
  <si>
    <t>772639768019</t>
  </si>
  <si>
    <t>272408946214</t>
  </si>
  <si>
    <t>773570128594</t>
  </si>
  <si>
    <t>612200180036</t>
  </si>
  <si>
    <t>781414768102</t>
  </si>
  <si>
    <t>504212241810</t>
  </si>
  <si>
    <t>690809023809</t>
  </si>
  <si>
    <t>782010381239</t>
  </si>
  <si>
    <t>745104373297</t>
  </si>
  <si>
    <t>532121102356</t>
  </si>
  <si>
    <t>165919270677</t>
  </si>
  <si>
    <t>10602313575</t>
  </si>
  <si>
    <t>780614691590</t>
  </si>
  <si>
    <t>525705689868</t>
  </si>
  <si>
    <t>246311602923</t>
  </si>
  <si>
    <t>312320241934</t>
  </si>
  <si>
    <t>673107199106</t>
  </si>
  <si>
    <t>246103942502</t>
  </si>
  <si>
    <t>771819525503</t>
  </si>
  <si>
    <t>262603541007</t>
  </si>
  <si>
    <t>290101238901</t>
  </si>
  <si>
    <t>616204490501</t>
  </si>
  <si>
    <t>667206811120</t>
  </si>
  <si>
    <t>772505612531</t>
  </si>
  <si>
    <t>732100086878</t>
  </si>
  <si>
    <t>632101578830</t>
  </si>
  <si>
    <t>500107714139</t>
  </si>
  <si>
    <t>470305208626</t>
  </si>
  <si>
    <t>502712744945</t>
  </si>
  <si>
    <t>0</t>
  </si>
  <si>
    <t>771810470761</t>
  </si>
  <si>
    <t>503601494882</t>
  </si>
  <si>
    <t>772200888408</t>
  </si>
  <si>
    <t>526006998833</t>
  </si>
  <si>
    <t>290117748707</t>
  </si>
  <si>
    <t>780422774517</t>
  </si>
  <si>
    <t>780512138700</t>
  </si>
  <si>
    <t>602706651886</t>
  </si>
  <si>
    <t>770400490177</t>
  </si>
  <si>
    <t>782508325796</t>
  </si>
  <si>
    <t>540608257810</t>
  </si>
  <si>
    <t>782581058181</t>
  </si>
  <si>
    <t>780405236484</t>
  </si>
  <si>
    <t>519012156545</t>
  </si>
  <si>
    <t>781408094649</t>
  </si>
  <si>
    <t>772740049816</t>
  </si>
  <si>
    <t>770600162504</t>
  </si>
  <si>
    <t>781650888000</t>
  </si>
  <si>
    <t>272104045730</t>
  </si>
  <si>
    <t>272418301705</t>
  </si>
  <si>
    <t>421707067485</t>
  </si>
  <si>
    <t>290120864679</t>
  </si>
  <si>
    <t>540538668500</t>
  </si>
  <si>
    <t>246502825536</t>
  </si>
  <si>
    <t>772707525458</t>
  </si>
  <si>
    <t>366602108545</t>
  </si>
  <si>
    <t>631902882365</t>
  </si>
  <si>
    <t>272305683796</t>
  </si>
  <si>
    <t>631201113876</t>
  </si>
  <si>
    <t>773503634490</t>
  </si>
  <si>
    <t>772341266167</t>
  </si>
  <si>
    <t>340602595800</t>
  </si>
  <si>
    <t>772003934373</t>
  </si>
  <si>
    <t>540608106338</t>
  </si>
  <si>
    <t>631207310912</t>
  </si>
  <si>
    <t>253805809816</t>
  </si>
  <si>
    <t>772504152916</t>
  </si>
  <si>
    <t>773305586332</t>
  </si>
  <si>
    <t>645401928171</t>
  </si>
  <si>
    <t>165500345797</t>
  </si>
  <si>
    <t>526210145232</t>
  </si>
  <si>
    <t>272104617659</t>
  </si>
  <si>
    <t>771517891694</t>
  </si>
  <si>
    <t>771987478870</t>
  </si>
  <si>
    <t>#N/A</t>
  </si>
  <si>
    <t>504707164501</t>
  </si>
  <si>
    <t>503602704846</t>
  </si>
  <si>
    <t>780505090711</t>
  </si>
  <si>
    <t>780710630913</t>
  </si>
  <si>
    <t>781650890000</t>
  </si>
  <si>
    <t>772016378300</t>
  </si>
  <si>
    <t>781307017430</t>
  </si>
  <si>
    <t>165400132989</t>
  </si>
  <si>
    <t>590409977815</t>
  </si>
  <si>
    <t>782577364651</t>
  </si>
  <si>
    <t>781130615960</t>
  </si>
  <si>
    <t>773388760285</t>
  </si>
  <si>
    <t>781126363861</t>
  </si>
  <si>
    <t>253605087151</t>
  </si>
  <si>
    <t>773602747663</t>
  </si>
  <si>
    <t>501202392010</t>
  </si>
  <si>
    <t>27605390295</t>
  </si>
  <si>
    <t>781697151068</t>
  </si>
  <si>
    <t>710700791385</t>
  </si>
  <si>
    <t>782575034070</t>
  </si>
  <si>
    <t>246520664384</t>
  </si>
  <si>
    <t>780207301244</t>
  </si>
  <si>
    <t>773471385569</t>
  </si>
  <si>
    <t>602708344143</t>
  </si>
  <si>
    <t>471906439299</t>
  </si>
  <si>
    <t>222101120289</t>
  </si>
  <si>
    <t>772003162310</t>
  </si>
  <si>
    <t>772808013110</t>
  </si>
  <si>
    <t>590202877765</t>
  </si>
  <si>
    <t>780705767359</t>
  </si>
  <si>
    <t>500305101529</t>
  </si>
  <si>
    <t>471908224203</t>
  </si>
  <si>
    <t>502903385207</t>
  </si>
  <si>
    <t>27717490675</t>
  </si>
  <si>
    <t>504708832293</t>
  </si>
  <si>
    <t>366206536804</t>
  </si>
  <si>
    <t>771600748971</t>
  </si>
  <si>
    <t>421201793669</t>
  </si>
  <si>
    <t>645405850399</t>
  </si>
  <si>
    <t>772940354983</t>
  </si>
  <si>
    <t>645306898960</t>
  </si>
  <si>
    <t>631918141147</t>
  </si>
  <si>
    <t>772628979240</t>
  </si>
  <si>
    <t>100401778506</t>
  </si>
  <si>
    <t>780606431189</t>
  </si>
  <si>
    <t>760702457229</t>
  </si>
  <si>
    <t>772803832236</t>
  </si>
  <si>
    <t>772801696468</t>
  </si>
  <si>
    <t>231905539300</t>
  </si>
  <si>
    <t>482409929125</t>
  </si>
  <si>
    <t>666003332803</t>
  </si>
  <si>
    <t>666004365350</t>
  </si>
  <si>
    <t>366403552805</t>
  </si>
  <si>
    <t>540821356937</t>
  </si>
  <si>
    <t>272506589698</t>
  </si>
  <si>
    <t>253808941065</t>
  </si>
  <si>
    <t>771003474124</t>
  </si>
  <si>
    <t>780201707470</t>
  </si>
  <si>
    <t>272115060176</t>
  </si>
  <si>
    <t>761103738825</t>
  </si>
  <si>
    <t>771206657275</t>
  </si>
  <si>
    <t>253610358079</t>
  </si>
  <si>
    <t>230807882235</t>
  </si>
  <si>
    <t>780615391800</t>
  </si>
  <si>
    <t>616302824992</t>
  </si>
  <si>
    <t>772801153694</t>
  </si>
  <si>
    <t>665809886234</t>
  </si>
  <si>
    <t>470406700496</t>
  </si>
  <si>
    <t>253807926723</t>
  </si>
  <si>
    <t>532121863939</t>
  </si>
  <si>
    <t>781400769610</t>
  </si>
  <si>
    <t>631926563262</t>
  </si>
  <si>
    <t>253912269040</t>
  </si>
  <si>
    <t>272408638001</t>
  </si>
  <si>
    <t>222500739391</t>
  </si>
  <si>
    <t>332704386182</t>
  </si>
  <si>
    <t>501800609855</t>
  </si>
  <si>
    <t>143506221921</t>
  </si>
  <si>
    <t>434593625671</t>
  </si>
  <si>
    <t>10511423404</t>
  </si>
  <si>
    <t>365102008325</t>
  </si>
  <si>
    <t>110311643035</t>
  </si>
  <si>
    <t>502771310763</t>
  </si>
  <si>
    <t>550105225293</t>
  </si>
  <si>
    <t>590202971711</t>
  </si>
  <si>
    <t>502477852585</t>
  </si>
  <si>
    <t>773800198609</t>
  </si>
  <si>
    <t>773376475861</t>
  </si>
  <si>
    <t>680401812504</t>
  </si>
  <si>
    <t>212902489829</t>
  </si>
  <si>
    <t>781662560609</t>
  </si>
  <si>
    <t>503210318529</t>
  </si>
  <si>
    <t>781305236500</t>
  </si>
  <si>
    <t>366209836570</t>
  </si>
  <si>
    <t>770500064856</t>
  </si>
  <si>
    <t>667412236997</t>
  </si>
  <si>
    <t>772123803125</t>
  </si>
  <si>
    <t>780249664024</t>
  </si>
  <si>
    <t>771800226644</t>
  </si>
  <si>
    <t>773605110791</t>
  </si>
  <si>
    <t>500801634404</t>
  </si>
  <si>
    <t>420501528807</t>
  </si>
  <si>
    <t>781121746853</t>
  </si>
  <si>
    <t>771906001778</t>
  </si>
  <si>
    <t>344103171810</t>
  </si>
  <si>
    <t>352511938601</t>
  </si>
  <si>
    <t>540706054896</t>
  </si>
  <si>
    <t>501801967395</t>
  </si>
  <si>
    <t>590203177981</t>
  </si>
  <si>
    <t>772327121321</t>
  </si>
  <si>
    <t>505691038236</t>
  </si>
  <si>
    <t>616404690307</t>
  </si>
  <si>
    <t>771806999538</t>
  </si>
  <si>
    <t>780432147755</t>
  </si>
  <si>
    <t>770600315302</t>
  </si>
  <si>
    <t>781400897450</t>
  </si>
  <si>
    <t>772816759103</t>
  </si>
  <si>
    <t>772828209908</t>
  </si>
  <si>
    <t>772320311588</t>
  </si>
  <si>
    <t>773670240504</t>
  </si>
  <si>
    <t>590299715719</t>
  </si>
  <si>
    <t>381106743342</t>
  </si>
  <si>
    <t>780505182916</t>
  </si>
  <si>
    <t>162400724860</t>
  </si>
  <si>
    <t>780623603166</t>
  </si>
  <si>
    <t>381205240004</t>
  </si>
  <si>
    <t>27800315862</t>
  </si>
  <si>
    <t>772010313024</t>
  </si>
  <si>
    <t>771608956148</t>
  </si>
  <si>
    <t>782512923012</t>
  </si>
  <si>
    <t>561006207238</t>
  </si>
  <si>
    <t>770171107212</t>
  </si>
  <si>
    <t>232601915177</t>
  </si>
  <si>
    <t>690300408700</t>
  </si>
  <si>
    <t>773372690843</t>
  </si>
  <si>
    <t>623100466248</t>
  </si>
  <si>
    <t>150200654502</t>
  </si>
  <si>
    <t>246521829173</t>
  </si>
  <si>
    <t>780416456001</t>
  </si>
  <si>
    <t>502905715669</t>
  </si>
  <si>
    <t>782581054483</t>
  </si>
  <si>
    <t>212701431000</t>
  </si>
  <si>
    <t>638203726599</t>
  </si>
  <si>
    <t>631501365017</t>
  </si>
  <si>
    <t>781009331697</t>
  </si>
  <si>
    <t>780416379519</t>
  </si>
  <si>
    <t>540605415578</t>
  </si>
  <si>
    <t>772010630150</t>
  </si>
  <si>
    <t>280702677350</t>
  </si>
  <si>
    <t>760405277128</t>
  </si>
  <si>
    <t>503209162429</t>
  </si>
  <si>
    <t>532102274215</t>
  </si>
  <si>
    <t>772910507551</t>
  </si>
  <si>
    <t>301501175114</t>
  </si>
  <si>
    <t>183105376465</t>
  </si>
  <si>
    <t>773411649908</t>
  </si>
  <si>
    <t>132600532147</t>
  </si>
  <si>
    <t>662901545135</t>
  </si>
  <si>
    <t>666004366160</t>
  </si>
  <si>
    <t>745306197044</t>
  </si>
  <si>
    <t>165900773606</t>
  </si>
  <si>
    <t>772812386130</t>
  </si>
  <si>
    <t>645403517466</t>
  </si>
  <si>
    <t>263502962917</t>
  </si>
  <si>
    <t>780211413159</t>
  </si>
  <si>
    <t>502409006633</t>
  </si>
  <si>
    <t>782610904314</t>
  </si>
  <si>
    <t>782540365923</t>
  </si>
  <si>
    <t>440116916800</t>
  </si>
  <si>
    <t>231102593003</t>
  </si>
  <si>
    <t>782513530896</t>
  </si>
  <si>
    <t>616842308287</t>
  </si>
  <si>
    <t>720323279778</t>
  </si>
  <si>
    <t>272504681962</t>
  </si>
  <si>
    <t>772608496365</t>
  </si>
  <si>
    <t>263515351908</t>
  </si>
  <si>
    <t>381250703504</t>
  </si>
  <si>
    <t>666008276800</t>
  </si>
  <si>
    <t>631625443500</t>
  </si>
  <si>
    <t>623102996321</t>
  </si>
  <si>
    <t>771200950407</t>
  </si>
  <si>
    <t>773772775403</t>
  </si>
  <si>
    <t>470309861498</t>
  </si>
  <si>
    <t>772735824435</t>
  </si>
  <si>
    <t>222504018129</t>
  </si>
  <si>
    <t>503506770620</t>
  </si>
  <si>
    <t>100101630717</t>
  </si>
  <si>
    <t>232010528327</t>
  </si>
  <si>
    <t>222500717550</t>
  </si>
  <si>
    <t>71304813935</t>
  </si>
  <si>
    <t>166010555099</t>
  </si>
  <si>
    <t>420508424035</t>
  </si>
  <si>
    <t>771404917013</t>
  </si>
  <si>
    <t>772912706947</t>
  </si>
  <si>
    <t>590202444056</t>
  </si>
  <si>
    <t>771313501191</t>
  </si>
  <si>
    <t>490907639051</t>
  </si>
  <si>
    <t>772808165265</t>
  </si>
  <si>
    <t>165909134241</t>
  </si>
  <si>
    <t>781413264208</t>
  </si>
  <si>
    <t>780434305118</t>
  </si>
  <si>
    <t>201302810344</t>
  </si>
  <si>
    <t>100114104398</t>
  </si>
  <si>
    <t>Проведение мастер-класса</t>
  </si>
  <si>
    <t>Участие в Совете Экспертов</t>
  </si>
  <si>
    <t>Выступление на Постерной сессии</t>
  </si>
  <si>
    <t>Разбор клинического случая</t>
  </si>
  <si>
    <t>Создание Монографии по продукту</t>
  </si>
  <si>
    <t>Regional</t>
  </si>
  <si>
    <t>National</t>
  </si>
  <si>
    <t>International</t>
  </si>
  <si>
    <t>City</t>
  </si>
  <si>
    <t>Rating</t>
  </si>
  <si>
    <t>Grade</t>
  </si>
  <si>
    <t>Выберите лектора:</t>
  </si>
  <si>
    <t>Name</t>
  </si>
  <si>
    <t>KOL Title</t>
  </si>
  <si>
    <t>KOL Employer</t>
  </si>
  <si>
    <t>Agavelian Erik Garnikovich</t>
  </si>
  <si>
    <t>Ageenko Aleksandr Mikhailovich</t>
  </si>
  <si>
    <t>Aleksandrovich Iurii Stanislavovich</t>
  </si>
  <si>
    <t>Amdiev Alim Anvarovich</t>
  </si>
  <si>
    <t>Andreeva Tatiana Andreevna</t>
  </si>
  <si>
    <t>Andrusev Anton Mikhailovich</t>
  </si>
  <si>
    <t>Antonov Sergei Viktorovich</t>
  </si>
  <si>
    <t>Artemov Dmitrii Vladimirovich</t>
  </si>
  <si>
    <t>Aslanian Karapet Surenovich</t>
  </si>
  <si>
    <t>Afonchikov Viacheslav Sergeevich</t>
  </si>
  <si>
    <t>Babaiantc Andrei Valerevich</t>
  </si>
  <si>
    <t>Baskakov Danil Sergeevich</t>
  </si>
  <si>
    <t>Bautin Andrei Evgenevich</t>
  </si>
  <si>
    <t>Basharova Elena Valerevna</t>
  </si>
  <si>
    <t>Baiutina Sofia Alekseevna</t>
  </si>
  <si>
    <t>Baialieva Ainagul Zholdoshevna</t>
  </si>
  <si>
    <t>Bgane Nalbii Medzhidovich</t>
  </si>
  <si>
    <t>Bezhenar Vitalii Fedorovich</t>
  </si>
  <si>
    <t>Belskii Vladislav Aleksandrovich</t>
  </si>
  <si>
    <t>Beliaev Kirill Iurevich</t>
  </si>
  <si>
    <t>Beliaeva Svetlana Sergeevna</t>
  </si>
  <si>
    <t>Berezhanskii Boris Vitalevich</t>
  </si>
  <si>
    <t>Bichurin Ramazan Amirovich</t>
  </si>
  <si>
    <t>Bliznov Aleksandr Anatolevich</t>
  </si>
  <si>
    <t>Blinkova Liubov Nikolaevna</t>
  </si>
  <si>
    <t>Bobovnik Sergei Viktorovich</t>
  </si>
  <si>
    <t>Bombin Dmitrii Aleksandrovich</t>
  </si>
  <si>
    <t>Brazhnikov Anatolii Iurevich</t>
  </si>
  <si>
    <t>Bulanov Andrei Iulevich</t>
  </si>
  <si>
    <t>Bulieva Natalia Borisovna</t>
  </si>
  <si>
    <t>Vartanov Vladimir Iakovlevich</t>
  </si>
  <si>
    <t>Varfolomeeva Svetlana Rafaelevna</t>
  </si>
  <si>
    <t>Vasilev Iaroslav Ivanovich</t>
  </si>
  <si>
    <t>Vatazin Andrei Vladimirovich</t>
  </si>
  <si>
    <t>Vatutin Sergei Nikolaevich</t>
  </si>
  <si>
    <t>Vdovin Vladimir Viktorovich</t>
  </si>
  <si>
    <t>Vetchinnikova Olga Nikolaevna</t>
  </si>
  <si>
    <t>Vinogradova Mariia Alekseevna</t>
  </si>
  <si>
    <t>Volkova Svetlana Aleksandrovna</t>
  </si>
  <si>
    <t>Vorobeva Nadezhda Aleksandrovna</t>
  </si>
  <si>
    <t>Gavrilin Sergei Viktorovich</t>
  </si>
  <si>
    <t>Gavrilova Elena Gennadevna</t>
  </si>
  <si>
    <t>Gaiduk Irina Fedorovna</t>
  </si>
  <si>
    <t>Galstian Gennadii Martinovich</t>
  </si>
  <si>
    <t>Garbuzov Evgenii Iulevich</t>
  </si>
  <si>
    <t>Gerasimenko Oksana Nikolaevna</t>
  </si>
  <si>
    <t>Gerasimchuk Roman Pavlovich</t>
  </si>
  <si>
    <t>Glushchenko Vladimir Anatolevich</t>
  </si>
  <si>
    <t>Golosov Iurii Mikhailovich</t>
  </si>
  <si>
    <t>Goloshchapov Oleg Valerevich</t>
  </si>
  <si>
    <t>Gorelova Elena Anatolevna</t>
  </si>
  <si>
    <t>Gorobetc Evgenii Solomonovich</t>
  </si>
  <si>
    <t>Gorokhovskii Vadim Semenovich</t>
  </si>
  <si>
    <t>Gribovskaia Natalia Vladimirovna</t>
  </si>
  <si>
    <t>Grigorev Evgenii Valerevich</t>
  </si>
  <si>
    <t>Grigoreva Natalia Aleksandrovna</t>
  </si>
  <si>
    <t>Gritcai Liudmila Nikolaevna</t>
  </si>
  <si>
    <t>Gritcan Aleksei Ivanovich</t>
  </si>
  <si>
    <t>Gubaidullin Renat Ramilevich</t>
  </si>
  <si>
    <t>Gubkin Igor Mikhailovich</t>
  </si>
  <si>
    <t>Gureev Anton Dmitrievich</t>
  </si>
  <si>
    <t>Gusarov Vitalii Gennadevich</t>
  </si>
  <si>
    <t>Davydkin Igor Leonidovich</t>
  </si>
  <si>
    <t>Daniletc Violetta Viacheslavovna</t>
  </si>
  <si>
    <t>Demin Petr Mikhailovich</t>
  </si>
  <si>
    <t>Demina Tatiana Borisovna</t>
  </si>
  <si>
    <t>Dobrodeev Anton Sergeevich</t>
  </si>
  <si>
    <t>Drobinskaia Alla Nikolaevna</t>
  </si>
  <si>
    <t>Dubinin Andrei Anatolevich</t>
  </si>
  <si>
    <t>Dubov Sergei Konstantinovich</t>
  </si>
  <si>
    <t>Dudar Marina Mikhailovna</t>
  </si>
  <si>
    <t>Diachenko Igor Vladislavovich</t>
  </si>
  <si>
    <t>Evdokimov Evgenii Aleksandrovich</t>
  </si>
  <si>
    <t>Evzerova Tatiana Viacheslavovna</t>
  </si>
  <si>
    <t>Evstratov Aleksei Andreevich</t>
  </si>
  <si>
    <t>Ezhevskaia Anna Aleksandrovna</t>
  </si>
  <si>
    <t>Ezerskii Dmitrii Valerevich</t>
  </si>
  <si>
    <t>Eremenko Aleksandr Anatolevich</t>
  </si>
  <si>
    <t>Zharkov Pavel Aleksandrovich</t>
  </si>
  <si>
    <t>Zharkov Pavel Viacheslavovich</t>
  </si>
  <si>
    <t>Zhuravel Sergei Vladimirovich</t>
  </si>
  <si>
    <t>Zavarzin Aleksei Iurevich</t>
  </si>
  <si>
    <t>Zainulina Marina Sabirovna</t>
  </si>
  <si>
    <t>Zalepukhina Olga Ervinovna</t>
  </si>
  <si>
    <t>Zamiatin Mikhail Nikolaevich</t>
  </si>
  <si>
    <t>Zakharova Elena Viktorovna</t>
  </si>
  <si>
    <t>Zviagin Alfred Arkadevich</t>
  </si>
  <si>
    <t>Zemchenkov Aleksandr Iurevich</t>
  </si>
  <si>
    <t>Zefirova Tatiana Petrovna</t>
  </si>
  <si>
    <t>Zozulia Nadezhda Ivanovna</t>
  </si>
  <si>
    <t>Zolotukhin Konstantin Nikolaevich</t>
  </si>
  <si>
    <t>Zorenko Vladimir Iurevich</t>
  </si>
  <si>
    <t>Ivanov Vladimir Viacheslavovich</t>
  </si>
  <si>
    <t>Ivanov Marat Dmitrievich</t>
  </si>
  <si>
    <t>Isakov Aleksandr Vladimirovich</t>
  </si>
  <si>
    <t>Isachkina Alina Nikolaevna</t>
  </si>
  <si>
    <t>Kabantceva Tatiana Anatolevna</t>
  </si>
  <si>
    <t>Kalinin Pavel Lvovich</t>
  </si>
  <si>
    <t>Kapitanov Dmitrii Nikolaevich</t>
  </si>
  <si>
    <t>Karimov Askhat Ismagilovich</t>
  </si>
  <si>
    <t>Kachalova Elena Georgievna</t>
  </si>
  <si>
    <t>Kashentcev Sergei Nikolaevich</t>
  </si>
  <si>
    <t>Kim Andrei Viacheslavovich</t>
  </si>
  <si>
    <t>Kirgizov Kirill Igorevich</t>
  </si>
  <si>
    <t>Klimova Nina Ivanovna</t>
  </si>
  <si>
    <t>Klypa Tatiana Valerevna</t>
  </si>
  <si>
    <t>Kobiiasov Vladimir Arkadevich</t>
  </si>
  <si>
    <t>Kozyrev Aleksandr Sergeevich</t>
  </si>
  <si>
    <t>Kondratenko Irina Vadimovna</t>
  </si>
  <si>
    <t>Konstantinova Valeriia Nikolaevna</t>
  </si>
  <si>
    <t>Koniashina Nadezhda Ivanovna</t>
  </si>
  <si>
    <t>Kopylov Konstantin Gennadevich</t>
  </si>
  <si>
    <t>Kosacheva Nataliia Borisovna</t>
  </si>
  <si>
    <t>Kostyleva Tatiana Gennadevna</t>
  </si>
  <si>
    <t>Kostiuchenko Liudmila Nikolaevna</t>
  </si>
  <si>
    <t>Koshcheeva Natalia Aleksandrovna</t>
  </si>
  <si>
    <t>Kravetc Liudmila Anatolevna</t>
  </si>
  <si>
    <t>Krasavtceva Tatiana Nikolaevna</t>
  </si>
  <si>
    <t>Krichevskii Lev Anatolevich</t>
  </si>
  <si>
    <t>Kuznetcov Sergei Vladimirovich</t>
  </si>
  <si>
    <t>Kulabukhov Vladimir Vitalevich</t>
  </si>
  <si>
    <t>Kuleshov Oleg Vladimirovich</t>
  </si>
  <si>
    <t>Kuligin Aleksandr Valerevich</t>
  </si>
  <si>
    <t>Kumskova Mariia Alekseevna</t>
  </si>
  <si>
    <t>Kurkina Irina Aleksandrovna</t>
  </si>
  <si>
    <t>Kurtov Igor Valentinovich</t>
  </si>
  <si>
    <t>Kutin Maksim Aleksandrovich</t>
  </si>
  <si>
    <t>Kuchin Anton Aleksandrovich</t>
  </si>
  <si>
    <t>Lavrichenko Inna Anatolevna</t>
  </si>
  <si>
    <t>Lapin Valerii Albertovich</t>
  </si>
  <si>
    <t>Latysheva Elena Aleksandrovna</t>
  </si>
  <si>
    <t>Latysheva Tatiana Vasilevna</t>
  </si>
  <si>
    <t>Lebedev Vladimir Veniaminovich</t>
  </si>
  <si>
    <t>Lebedeva Natalia Vladimirovna</t>
  </si>
  <si>
    <t>Lebedeva Olga Leonidovna</t>
  </si>
  <si>
    <t>Levit Aleksandr Lvovich</t>
  </si>
  <si>
    <t>Levit Dmitrii Aleksandrovich</t>
  </si>
  <si>
    <t>Leshina Olga Anatolevna</t>
  </si>
  <si>
    <t>Lobko Konstantin Nikolaevich</t>
  </si>
  <si>
    <t>Lobov Oleg Anatolevich</t>
  </si>
  <si>
    <t>Lomivorotov Vladimir Vladimirovich</t>
  </si>
  <si>
    <t>Lopatin Andrei Fedorovich</t>
  </si>
  <si>
    <t>Loskutov Aleksei Evgenevich</t>
  </si>
  <si>
    <t>Lubnin Andrei Iurevich</t>
  </si>
  <si>
    <t>Luft Valerii Matveevich</t>
  </si>
  <si>
    <t>Liubaretc Petr Viktorovich</t>
  </si>
  <si>
    <t>Liuboshevskii Pavel Aleksandrovich</t>
  </si>
  <si>
    <t>Liashchenko Iurii Nikolaevich</t>
  </si>
  <si>
    <t>Maistrovskii Kirill Valerevich</t>
  </si>
  <si>
    <t>Makarov Andrei Anatolevich</t>
  </si>
  <si>
    <t>Mansvetova Ekaterina Feliksovna</t>
  </si>
  <si>
    <t>Markova Inna Viktorovna</t>
  </si>
  <si>
    <t>Martynov Dmitrii Viktorovich</t>
  </si>
  <si>
    <t>Maschan Aleksei Aleksandrovich</t>
  </si>
  <si>
    <t>Matkovskii Andrei Anatolevich</t>
  </si>
  <si>
    <t>Meshakov Dmitrii Petrovich</t>
  </si>
  <si>
    <t>Minkina Liudmila Mikhailovna</t>
  </si>
  <si>
    <t>Miroshnichenko Olga Mikhailovna</t>
  </si>
  <si>
    <t>Mikhailov Anton Valerevich</t>
  </si>
  <si>
    <t>Mishina Elena Anatolevna</t>
  </si>
  <si>
    <t>Mkrtumian Naira Levonovna</t>
  </si>
  <si>
    <t>Molostvova Valentina Zakharovna</t>
  </si>
  <si>
    <t>Momot Andrei Pavlovich</t>
  </si>
  <si>
    <t>Moshchev Dmitrii Aleksandrovich</t>
  </si>
  <si>
    <t>Muzurov Aleksandr Lvovich</t>
  </si>
  <si>
    <t>Mulina Inna Ivanovna</t>
  </si>
  <si>
    <t>Mustafina Gulzada Nurgaiazovna</t>
  </si>
  <si>
    <t>Miasnikova Viktoriia Vladimirovna</t>
  </si>
  <si>
    <t>Nalivaiko Vladimir Evgenevich</t>
  </si>
  <si>
    <t>Nedomolkin Sergei Viktorovich</t>
  </si>
  <si>
    <t>Nekhaev Igor Vladimirovich</t>
  </si>
  <si>
    <t>Nikitin Denis Iurevich</t>
  </si>
  <si>
    <t>Nikolenko Andrei Valentinovich</t>
  </si>
  <si>
    <t>Novichkova Galina Anatolevna</t>
  </si>
  <si>
    <t>Novozhilova Elena Nikolaevna</t>
  </si>
  <si>
    <t>Obukhova Olga Arkadevna</t>
  </si>
  <si>
    <t>Ovezov Aleksei Muradovich</t>
  </si>
  <si>
    <t>Ovechkin Anatolii Iurevich</t>
  </si>
  <si>
    <t>Ovsiannikov Aleksandr Nikolaevich</t>
  </si>
  <si>
    <t>Oreshnikov Evgenii Vitalevich</t>
  </si>
  <si>
    <t>Osovskikh Viktor Vasilevich</t>
  </si>
  <si>
    <t>Pampura Aleksandr Nikolaevich</t>
  </si>
  <si>
    <t>Papaian Liudmila Petrovna</t>
  </si>
  <si>
    <t>Paponov Oleg Nikolaevich</t>
  </si>
  <si>
    <t>Pasechnik Igor Nikolaevich</t>
  </si>
  <si>
    <t>Perina Farida Galimovna</t>
  </si>
  <si>
    <t>Perov Konstantin Alekseevich</t>
  </si>
  <si>
    <t>Petrov Aleksandr Nikolaevich</t>
  </si>
  <si>
    <t>Petrov Viktor Iurevich</t>
  </si>
  <si>
    <t>Petrova Marina Vladimirovna</t>
  </si>
  <si>
    <t>Pichugina Inna Sergeevna</t>
  </si>
  <si>
    <t>Plotnikov Georgii Pavlovich</t>
  </si>
  <si>
    <t>Polushin Iurii Sergeevich</t>
  </si>
  <si>
    <t>Polianskaia Tatiana Iurevna</t>
  </si>
  <si>
    <t>Popova Nataliia Aleksandrovna</t>
  </si>
  <si>
    <t>Popugaev Konstantin Aleksandrovich</t>
  </si>
  <si>
    <t>Pospelova Tatiana Ivanovna</t>
  </si>
  <si>
    <t>Prasolov Nikolai Vasilevich</t>
  </si>
  <si>
    <t>Prelous Irina Nikolaevna</t>
  </si>
  <si>
    <t>Prodeus Andrei Petrovich</t>
  </si>
  <si>
    <t>Protcenko Denis Nikolaevich</t>
  </si>
  <si>
    <t>Pyregov Aleksei Viktorovich</t>
  </si>
  <si>
    <t>Rozenko Dmitrii Aleksandrovich</t>
  </si>
  <si>
    <t>Roitman Evgenii Vitalevich</t>
  </si>
  <si>
    <t>Rubinchik Vadim Efimovich</t>
  </si>
  <si>
    <t>Ruda Mikhail Iakovlevich</t>
  </si>
  <si>
    <t>Ruksin Viktor Viktorovich</t>
  </si>
  <si>
    <t>Rumiantcev Aleksandr Grigorevich</t>
  </si>
  <si>
    <t>Rumiantcev Aleksandr Lvovich</t>
  </si>
  <si>
    <t>Rybka Mikhail Mikhailovich</t>
  </si>
  <si>
    <t>Ryk Alla Aleksandrovna</t>
  </si>
  <si>
    <t>Ryskal Olga Vladimirovna</t>
  </si>
  <si>
    <t>Riazanova Oksana Vladimirovna</t>
  </si>
  <si>
    <t>Savvina Irina Aleksandrovna</t>
  </si>
  <si>
    <t>Savrilova Alsu Mukhariamovna</t>
  </si>
  <si>
    <t>Salikhova Karina Aleksandrovna</t>
  </si>
  <si>
    <t>Sampiev Magomet Sultanovich</t>
  </si>
  <si>
    <t>Saraeva Natalia Orestovna</t>
  </si>
  <si>
    <t>Safuanova Guzial Shagbanovna</t>
  </si>
  <si>
    <t>Sviridov Sergei Viktorovich</t>
  </si>
  <si>
    <t>Svirin Pavel Viacheslavovich</t>
  </si>
  <si>
    <t>Selivanov Dmitrii Borisovich</t>
  </si>
  <si>
    <t>Seliutin Aleksandr Alekseevich</t>
  </si>
  <si>
    <t>Sizov Vadim Andreevich</t>
  </si>
  <si>
    <t>Sinkov Sergei Vasilevich</t>
  </si>
  <si>
    <t>Sitkin Sergei Ivanovich</t>
  </si>
  <si>
    <t>Skobelev Evgenii Ivanovich</t>
  </si>
  <si>
    <t>Skobin Vladimir Borisovich</t>
  </si>
  <si>
    <t>Slepushkin Vitalii Dmitrievich</t>
  </si>
  <si>
    <t>Smelianskaia Mariia Gennadevna</t>
  </si>
  <si>
    <t>Smirnova Olga Anatolevna</t>
  </si>
  <si>
    <t>Smoliakov Aleksandr Aleksandrovich</t>
  </si>
  <si>
    <t>Soldatenkov Vitalii Evgenevich</t>
  </si>
  <si>
    <t>Soloveva Nadezhda Valentinovna</t>
  </si>
  <si>
    <t>Srapian Rafik Araratovich</t>
  </si>
  <si>
    <t>Stadler Vladimir Vladimirovich</t>
  </si>
  <si>
    <t>Strogonov Aleksei Igorevich</t>
  </si>
  <si>
    <t>Strukov Egor Iurevich</t>
  </si>
  <si>
    <t>Stupak Viacheslav Vladimirovich</t>
  </si>
  <si>
    <t>Subbotin Valerii Viacheslavovich</t>
  </si>
  <si>
    <t>Sudakov Anatolii Georgievich</t>
  </si>
  <si>
    <t>Surianinova Olga Vasilevna</t>
  </si>
  <si>
    <t>Suslov Vladimir Prokopevich</t>
  </si>
  <si>
    <t>Sukhov Vladimir Aleksandrovich</t>
  </si>
  <si>
    <t>Sytov Aleksandr Viktorovich</t>
  </si>
  <si>
    <t>Sycheva Tatiana Mikhailovna</t>
  </si>
  <si>
    <t>Tveritnev Pavel Mikhailovich</t>
  </si>
  <si>
    <t>Teplykh Boris Anatolevich</t>
  </si>
  <si>
    <t>Teslia Valerii Vladimirovich</t>
  </si>
  <si>
    <t>Timerbaev Vladimir Khamidovich</t>
  </si>
  <si>
    <t>Tolkachev Oleg Viacheslavovich</t>
  </si>
  <si>
    <t>Tuzankina Irina Aleksandrovna</t>
  </si>
  <si>
    <t>Turchaninov Aleksandr Iurevich</t>
  </si>
  <si>
    <t>Fatkullin Ildar Faridovich</t>
  </si>
  <si>
    <t>Fedorova Tatiana Anatolevna</t>
  </si>
  <si>
    <t>Fisun Aleksei Mikhailovich</t>
  </si>
  <si>
    <t>Fisher Vasilii Vladimirovich</t>
  </si>
  <si>
    <t>Khabarov Viktor Aleksandrovich</t>
  </si>
  <si>
    <t>Khalikov Azam Dzhaulanovich</t>
  </si>
  <si>
    <t>Khoteev Andrei Zhanovich</t>
  </si>
  <si>
    <t>Khriapa Aleksandr Aleksandrovich</t>
  </si>
  <si>
    <t>Tckhovrebov Mikhail Zurabovich</t>
  </si>
  <si>
    <t>Chernysheva Natalia Nikolaevna</t>
  </si>
  <si>
    <t>Chuprin Sergei Viacheslavovich</t>
  </si>
  <si>
    <t>Shavkin Aleksei Lvovich</t>
  </si>
  <si>
    <t>Shamrai Vladimir Stepanovich</t>
  </si>
  <si>
    <t>Shanina Liliia Vladimirovna</t>
  </si>
  <si>
    <t>Shakhova Olga Vladimirovna</t>
  </si>
  <si>
    <t>Sheina Irina Aleksandrovna</t>
  </si>
  <si>
    <t>Sheludko Kirill Fedorovich</t>
  </si>
  <si>
    <t>Shemetova Mariia Mikhailovna</t>
  </si>
  <si>
    <t>Shen Natalia Petrovna</t>
  </si>
  <si>
    <t>Sherstnev Andrei Vladimirovich</t>
  </si>
  <si>
    <t>Shestakov Evgenii Andreevich</t>
  </si>
  <si>
    <t>Shestopalov Aleksandr Efimovich</t>
  </si>
  <si>
    <t>Shiganov Mikhail Iurevich</t>
  </si>
  <si>
    <t>Shiller Ekaterina Eduardovna</t>
  </si>
  <si>
    <t>Shilova Anna Nikolaevna</t>
  </si>
  <si>
    <t>Shin Aleksandr Radionovich</t>
  </si>
  <si>
    <t>Shifman Efim Munevich</t>
  </si>
  <si>
    <t>Shkriabunova Viktoriia Valerevna</t>
  </si>
  <si>
    <t>Shmelev Vadim Valentinovich</t>
  </si>
  <si>
    <t>Shomakhov Anzor Anatolevich</t>
  </si>
  <si>
    <t>Shpaner Roman Iakovlevich</t>
  </si>
  <si>
    <t>Shukevich Dmitrii Leonidovich</t>
  </si>
  <si>
    <t>Shulutko Elena Markovna</t>
  </si>
  <si>
    <t>Shutov Evgenii Viktorovich</t>
  </si>
  <si>
    <t>Shutylev Anton Arkadevich</t>
  </si>
  <si>
    <t>Shcherbina Anna Iurevna</t>
  </si>
  <si>
    <t>Shchukin Vladislav Vladimirovich</t>
  </si>
  <si>
    <t>Iavorovskii Andrei Georgievich</t>
  </si>
  <si>
    <t>Iakupov Iskander Fairuzovich</t>
  </si>
  <si>
    <t>Iamgurov Dmitrii Rifgatovich</t>
  </si>
  <si>
    <t>Iankovskaia Evgeniia Viktorovna</t>
  </si>
  <si>
    <t>Iasakova Zimani Zenkirkhanovna</t>
  </si>
  <si>
    <t>Iastrebov Mikhail Aleksandrovich</t>
  </si>
  <si>
    <t>Кординатор по маркетингу</t>
  </si>
  <si>
    <t>Marketing coordinator</t>
  </si>
  <si>
    <t>Анастасия Пузан</t>
  </si>
  <si>
    <t>Anastasia Puzan</t>
  </si>
  <si>
    <t>Issued</t>
  </si>
  <si>
    <t>ФИО инициалы</t>
  </si>
  <si>
    <t>+74956476807</t>
  </si>
  <si>
    <t>Russia, Moscow, Leningradskoe shosse 16A/1</t>
  </si>
  <si>
    <t>Москва, Ленинградское шоссе 16A/1</t>
  </si>
  <si>
    <t>Совет Экспертов</t>
  </si>
  <si>
    <t>Ставка</t>
  </si>
  <si>
    <t>Лекция</t>
  </si>
  <si>
    <t>Master-class</t>
  </si>
  <si>
    <t xml:space="preserve">UVD Dzerzhinskogo raiona goroda Novosibirska </t>
  </si>
  <si>
    <t>TP№22 Otdela UFMS Rossii po Sankt-Peterburgu i Leningradskoi oblasti v Kalininskom raione  gor.Sankt-Peterburga</t>
  </si>
  <si>
    <t>Federalnoi Migratcionnoi sluzhboi</t>
  </si>
  <si>
    <t>Glavnym Upravlenim Vnutrennikh del S.-Peterburga i Leningradskoi obl.</t>
  </si>
  <si>
    <t>Upravleniem vnutrennikh del Zheleznodorozhnogo raiona goroda Khabarovska</t>
  </si>
  <si>
    <t>OVD Panfilovskogo raiona UVD Zelenogradskogo okruga goroda Moskvy</t>
  </si>
  <si>
    <t xml:space="preserve">TP №65 Otdela UFMS Rossii po Sankt-Peterburgu i Leningradskoi  obl.Primorskom r-ne gor.Sankt-Peterburga </t>
  </si>
  <si>
    <t>Krasnozavodskim otdelom  militcii Sergievo Posadskogo UVD Moskovskoi oblasti</t>
  </si>
  <si>
    <t>Vyshnevolotckim Otdelom Vnutrennikh Del Tverskoi oblasti</t>
  </si>
  <si>
    <t>TP №71 Otdela UFMS Rossii po Sankt-Peterburgu i Leningradskoi oblasti v Pushkinskom r-ne g.Sankt-Peterburga</t>
  </si>
  <si>
    <t xml:space="preserve">UVD Sovetskogo raiona gor.Cheliabinska </t>
  </si>
  <si>
    <t>Upravleniem Vnutrennikh Del Velikogo Novgoroda</t>
  </si>
  <si>
    <t xml:space="preserve">UVD Privolzhskogo raiona g.Kazani </t>
  </si>
  <si>
    <t>Otdeleniem OFMS Rossii po Respublike Adygeia v Takhtamukharskom raione</t>
  </si>
  <si>
    <t>13 otdelom militcii krasnogvardeiskogo raiona Sankt-Peterburga</t>
  </si>
  <si>
    <t>UVD Kanavinskogo r-na gor.Nizhnego Novgoroda</t>
  </si>
  <si>
    <t>Otdelom UFMS Rossii po Krasnoiarskomu Kraiu v Oktiabrskom r-ne gor.Krasnoiarska</t>
  </si>
  <si>
    <t>Otdeleniem №3 OUFMS Rossii po Belgorodskoi oblasti v gorode Belgorode</t>
  </si>
  <si>
    <t>Promyshlennym raionnym otdelom vnutrennikh del goroda Smolenska</t>
  </si>
  <si>
    <t xml:space="preserve">Upravleniem Vnutrennikh del Kirovskogo raiona g.Krasnoiarska </t>
  </si>
  <si>
    <t>Otdelom UFMS ROssii po gor.Moskve po raionu Golianovo</t>
  </si>
  <si>
    <t>Otdeleniem UFMS Rossii po Stavropolskomu kraiu v g.Essentuki</t>
  </si>
  <si>
    <t xml:space="preserve">Mezhraionnym otdeleniem №2 UFMS Rossii po Arkhangelskoi obl.v gorode Arkhangelske </t>
  </si>
  <si>
    <t xml:space="preserve">Otdelom vnutrennikh del Sovetskogo raiona gor.Rostova-na-Donu </t>
  </si>
  <si>
    <t>Upravleniem vnutrennikh del Oktiabrskogo raiona goroda Ekaterinburga</t>
  </si>
  <si>
    <t>Otdelom vnutrennikh del "Danilovskii" goroda Moskvy</t>
  </si>
  <si>
    <t>Otdelom UFMS Rossii po Khanty-Mansiiskomu avtonom.okr.-Iugre v gor.Khanty-Mansiiske</t>
  </si>
  <si>
    <t>Avtozavodskim RUVD g.Toliatti Samarskoi obl.</t>
  </si>
  <si>
    <t xml:space="preserve">Upravleniem Vnutrennikh del goroda Pskova </t>
  </si>
  <si>
    <t>Malakhovskim otdelom militcii Liuberetckogo UVD Moskovskoi oblasti</t>
  </si>
  <si>
    <t>Otdelom UFMS Rossii po Volgogradskoi obl. v Krasnooktiabrskom r-ne gor.Volgograda</t>
  </si>
  <si>
    <t>OVD "Tekstilshchiki" gor.Moskvy</t>
  </si>
  <si>
    <t>OUFMS Rossii po Nizhegorodskoi obl.v Nizhegorodskom r-ne gor. Nizhnego Novgoroda</t>
  </si>
  <si>
    <t>OVD Oktiabrskogo okruga g. Arkhangelska</t>
  </si>
  <si>
    <t>GUVD Sankt-Peterburga i Leningradskoi oblasti</t>
  </si>
  <si>
    <t xml:space="preserve">14otdelom militcii Kirovskogo raiona Sankt-Peterburga </t>
  </si>
  <si>
    <t>Otdelom UFMS Rossii po Pskovskoi oblasti v gorode Pskove</t>
  </si>
  <si>
    <t>OVD raiona Khamovniki UVD TcAO g. Moskvy</t>
  </si>
  <si>
    <t>TP №139 otdela UFMS Rossii po Sankt-Peterburgu i Leningradskoi obl. v Tcentralnom raione gor. Sankt-Peterburga</t>
  </si>
  <si>
    <t>UVD Tcentralnogo raiona goroda Novosibirska</t>
  </si>
  <si>
    <t>TP№9 Otdela UFMS Rossii po Sankt-Peterburgu i Leningradskoi obl.v Vyborgskom r-ne g.Sankt-Peterburga</t>
  </si>
  <si>
    <t xml:space="preserve">TP №20 Otdela UFMS Rossii po Sankt-Peterburgu i Leningradskoi oblasti v Kalininskom r-ne gor.Sankt-Peterburga </t>
  </si>
  <si>
    <t>Otdelom vnutrennikh del Oktiabrskogo okruga goroda Murmanska</t>
  </si>
  <si>
    <t xml:space="preserve">TP№65 UFMS Rossii po Sankt-Peterburgu i Leningradskoi oblasti v Primorskom r-ne g.Sankt-Perburga </t>
  </si>
  <si>
    <t>Bykovskim GOM Ramenskogo raiona Moskovskoi oblasti</t>
  </si>
  <si>
    <t>Otdeleniem po raionu Iakimanka OUFMS Rossii po gor.Moskve v TcAO</t>
  </si>
  <si>
    <t xml:space="preserve">73 otdelom militcii Frunzenskogo raiona Sankt-Peterburga </t>
  </si>
  <si>
    <t xml:space="preserve">Otdelom UFMS Rossii po Khabarovskomu kraiu v tcentralnom r-ne gor.Khabarovska </t>
  </si>
  <si>
    <t>Otdelom UFMS Rossii po Khabarovskomu Kraiu v Zheleznodorozhnom raione g.Khabarovska</t>
  </si>
  <si>
    <t>Tcentralnym ROVD Novokuznetckogo UVD Kemerovskoi oblasti</t>
  </si>
  <si>
    <t>Mezhraionnym otdeleniem №2 UFMS Rossii po Arkhangelskoi oblasti i Nenetckomu Avtonomnomu okrugu v g.Arkhangelske</t>
  </si>
  <si>
    <t xml:space="preserve">UVD Oktiabrskogo  raiona goroda Novosibirska </t>
  </si>
  <si>
    <t xml:space="preserve">Otdeleniem UFMS Rossii po Krasnoiarskomu Kraiu v Tcentralnom raione gor.Krasnoiarska </t>
  </si>
  <si>
    <t>OVD"Cheremushki" gor.Moskvy</t>
  </si>
  <si>
    <t>Otdelom Vnutrennikh Del Tcentralnogo raiona goroda Voronezha</t>
  </si>
  <si>
    <t>2 otdeleniem militcii UVD Industrialnogo r-na gor.Khabarovska</t>
  </si>
  <si>
    <t>Upravleniem Vnutrennikh Del Kirovskogo raiona goroda Samary</t>
  </si>
  <si>
    <t xml:space="preserve">Otdeleniem UFMS Rossii po gor.Moskve po raionu Matushkino </t>
  </si>
  <si>
    <t>Otdeleniem po raionu Marinskii park OUFMS Rossii po gor.Moskve v IuVAO</t>
  </si>
  <si>
    <t>Elanskim ROVD Volgogradskoi oblasti</t>
  </si>
  <si>
    <t>Pasportnym stolom №1 OVD raiona "Veshniaki" gor. Moskvy</t>
  </si>
  <si>
    <t xml:space="preserve">UVD Tcentralnogo raiona goroda Novosibirska </t>
  </si>
  <si>
    <t>Upravleniem vnutrennikh del Kirovskogo raiona goroda Samary</t>
  </si>
  <si>
    <t>Otdelom UFMS Rossii po Primorskomu kraiu v Leninskom r-ne gor.Vladivostoka</t>
  </si>
  <si>
    <t>Upravleniem vnutrennikh del goroda Maikopa Respubliki Adygeia</t>
  </si>
  <si>
    <t>Otdeleniem UFMS Rossii po gor.Moskve po raionu Iuzhnoe Tushino</t>
  </si>
  <si>
    <t xml:space="preserve">Otdelom Vnutrennikh del Oktiabrskogo raiona gor. Saratova </t>
  </si>
  <si>
    <t>Otdelom UFMS Rossii po Respublike Tatarstan v Vakhitovskom raione g.Kazani</t>
  </si>
  <si>
    <t>UVD Sovetskogo r-na gor.Nizhnego Novgoroda</t>
  </si>
  <si>
    <t>Otdelom UFMS Rossii po Khabarovskomu kraiu v tcentralnom r-ne gor.Khabarovka</t>
  </si>
  <si>
    <t>OVD Raiona Lianozovo goroda Moskvy</t>
  </si>
  <si>
    <t>Otdelom UFMS Rossii po gor.Moskve po raionu Izmailovo</t>
  </si>
  <si>
    <t>Khimkinskim UVD  Moskovskoi oblasti</t>
  </si>
  <si>
    <t>3 otdelom militcii Podolskogo  UVD Moskovskoi oblasti</t>
  </si>
  <si>
    <t xml:space="preserve">TP №1 otdela UFMS Rossii po Sankt-Peterburgu  i Leningradskoi  obl.v Admiralteiskom r-ne gor. Sankt-Peterburga </t>
  </si>
  <si>
    <t>42 otdelom militcii Krasnoselskogo raiona Sankt-Peterburga</t>
  </si>
  <si>
    <t>Otdeleniem po raionu Veshniaki OUFMS Rossii po gor.Moskve v VAO</t>
  </si>
  <si>
    <t>TP№139 Otdela UFMS Rossii po Sankt-Peterburgu i Leningradskoi obl. v Tcentralnom r-ne gor.Sankt-Peterburga</t>
  </si>
  <si>
    <t>UVD Vakhitovskogo raiona gor.Kazani</t>
  </si>
  <si>
    <t>UVD Sverdlovskogo raiona g. Permi</t>
  </si>
  <si>
    <t>Otdelom UFMS Rossii po Respublike Bashkortostan v Sovetskom raione goroda Ufy</t>
  </si>
  <si>
    <t xml:space="preserve">TP №59 otdela UFMS Rossii po Sankt-Peterburgu iLeningadskoi obl.v Petrogradskom r-ne g.Sankt-Peterburga </t>
  </si>
  <si>
    <t>TP№53 otdela UFMS Rossii po Sankt-Peterburgu iLeningradskoi obl.v Nevskom r-ne gor.Sankt-Peterburga</t>
  </si>
  <si>
    <t xml:space="preserve">Upravleniem Vnutrennikh  del goroda Serova Sverdlovskoi oblasti </t>
  </si>
  <si>
    <t xml:space="preserve">32 otdelom militcii Nevskogo raiona Sankt-Peterburga </t>
  </si>
  <si>
    <t>OUFMS Rossii po Primorskomu Kraiu v Sovetskom raione gor.Vladivostoka</t>
  </si>
  <si>
    <t>otdeleniem UFMS Rossii po gor.Moskve po raionu Lomonosovskii</t>
  </si>
  <si>
    <t>TP№1 OUFMS Rossii po Moskovskoi oblasti v g. Zheleznodorozhnom</t>
  </si>
  <si>
    <t>Otdelom UFMS po Respublike Bashkortostan</t>
  </si>
  <si>
    <t xml:space="preserve">73 otdelom  militcii Frunzenskogo raiona Sankt-Peterburga </t>
  </si>
  <si>
    <t>TP v PTG Skuratovskii OUFMS Rossii po Tulskoi obl. v Tcentralnom  r-ne goroda Tuly</t>
  </si>
  <si>
    <t xml:space="preserve">28 otdelom militcii Tcentralnogo raiona Sankt-Peterburga </t>
  </si>
  <si>
    <t xml:space="preserve">Upravleniem Vnutrennikh del Sovetskogo raiona goroda Krasnoiarska </t>
  </si>
  <si>
    <t>OVD"Shchukino" gor.Moskvy</t>
  </si>
  <si>
    <t>UVD Pskovskoi oblasti</t>
  </si>
  <si>
    <t>Kommunarskim otdeleniem militcii Gatchinskogo raiona Leningradskoi oblasti</t>
  </si>
  <si>
    <t xml:space="preserve">Pasportno-Vizovoe  otdelenie OVD raiona Konkovo g.Moskvy </t>
  </si>
  <si>
    <t xml:space="preserve">Otdelom Vnutrennikh del Zheleznodorozhnogo raiona gor.Barnaula </t>
  </si>
  <si>
    <t xml:space="preserve">Otdelom Vnutrennikh Del "Ivanovskoe" goroda Moskvy </t>
  </si>
  <si>
    <t>Otdelom UFMS Rossii po gor.Moskve po raionu Konkovo</t>
  </si>
  <si>
    <t>Leninskim OVD gor.Permi</t>
  </si>
  <si>
    <t>Vatutinskim gorodskim otdeleniem militcii Leninskogo raiona Moskovskoi oblasti</t>
  </si>
  <si>
    <t xml:space="preserve">66 otdelom militcii Krasnogvardeiskogo raiona Sankt-Peterburga </t>
  </si>
  <si>
    <t>3 GOVD goroda Mytishchi Moskovskoi oblasti</t>
  </si>
  <si>
    <t>Ordzhonikidzevskim RUVD gor.Ufy Resp.Bashkortostan</t>
  </si>
  <si>
    <t xml:space="preserve">Khimkinskim UVD Moskovskoi oblasti </t>
  </si>
  <si>
    <t>Otdelom UFMS Rossii po Voronezhskoi oblasti v Levoberezhnom raione g.Voronezha</t>
  </si>
  <si>
    <t>TP №14  Otdela UFMS Rossii po Sankt-Peterburgu i Leningradskoi obl.v Vyborgskom r-ne gor.Sankt-Peterburga</t>
  </si>
  <si>
    <t xml:space="preserve">Otdelom Vnutrennikh  del Oktiabrskogo raiona gor.Saratova </t>
  </si>
  <si>
    <t xml:space="preserve">OVD Troparevo-Nikulino goroda Moskvy </t>
  </si>
  <si>
    <t>OUFMS Rossii po Saratovskoi obl. v Oktiabrskom r-ne gor. Saratova</t>
  </si>
  <si>
    <t>OUFMS Rossii po Samarskoi oblasti v Promyshlennom raione gor. Samary</t>
  </si>
  <si>
    <t>OVD"Chertanovo-Iuzhnoe" g.Moskvy</t>
  </si>
  <si>
    <t>Otdelom UFMS Rossii po Respublike Kareliia v gorode Petrozavodske</t>
  </si>
  <si>
    <t>51 otdelom militcii Moskovskogo raiona Sankt-Peterburga</t>
  </si>
  <si>
    <t>Otdelom UFMS Rossii po Iaroslavskoi oblasti vo Frunzenskom raione gor.Iaroslavlia</t>
  </si>
  <si>
    <t>OVD"Cheremushki" g.Moskvy</t>
  </si>
  <si>
    <t>Otdelom UFMS Rossii po Krasnodarskomu Kraiu v Prikubanskom okruge gor.Krasnodara</t>
  </si>
  <si>
    <t>RUVD Sovetskogo r-na gor.Nizhnego Novgoroda</t>
  </si>
  <si>
    <t>Moskovskim otdelom militcii Sovetskogo okruga goroda Lipetcka</t>
  </si>
  <si>
    <t>Otdel militcii Kirovskogo RUVD  g. Ekaterinburga</t>
  </si>
  <si>
    <t xml:space="preserve">Otdelom militcii Kirovskogo RUVD goroda Ekaterinburga </t>
  </si>
  <si>
    <t>Tcentralnym OVD g.Volgograda</t>
  </si>
  <si>
    <t>Moskovskim ROVD gor.Tveri</t>
  </si>
  <si>
    <t>Leninskim ROVD goroda Voronezha</t>
  </si>
  <si>
    <t>OVD Sovetskogo raiona goroda Novosibirska</t>
  </si>
  <si>
    <t>Krasnoflotskim ROVD gor.Khabarovska</t>
  </si>
  <si>
    <t xml:space="preserve">Pasportno-Vizovym otdeleniem OVD Tverskogo raiona goroda Moskvy </t>
  </si>
  <si>
    <t xml:space="preserve">Upravleniem Vnutrennikh del Tcentralnogo raiona Khabarovska </t>
  </si>
  <si>
    <t>Tutaevskim GOVD Iaroslavskoi obl.</t>
  </si>
  <si>
    <t xml:space="preserve">OVD  Golovinskogo raiona goroda Moskvy </t>
  </si>
  <si>
    <t>Leninskim RVD gor.Vladivostoka</t>
  </si>
  <si>
    <t xml:space="preserve">Otdelom UFMS Rossii po Krasnodarskomu kraiu v zapadnom okruge gor. Krasnodara </t>
  </si>
  <si>
    <t xml:space="preserve">Upravleniem Vnutrennikh del Tcentralnogo raiona g.Khabarovska </t>
  </si>
  <si>
    <t>TP №37 otdela UFMS Rossii po Sankt-Peterburgu i Leningradskoi obl. v Krasnogvardeiskom r-ne g. Sankt--Peterburga</t>
  </si>
  <si>
    <t>Vtorom otdelom militcii UVD g.Novocherkasska Rostovskoi obl.</t>
  </si>
  <si>
    <t>Otdeleniem po raionu Akademicheskii OUFMS Rossii po G. Moskve v IuZAO</t>
  </si>
  <si>
    <t xml:space="preserve">Otdelom militcii Verkh-Isetskogo  RUVD  goroda Ekaterinburga </t>
  </si>
  <si>
    <t xml:space="preserve">Migratcionnyi punkt №101 otdela UFMS Rossii po Sankt-Peterburgu i Leningradskoi obl.v Vyborgskom r-ne </t>
  </si>
  <si>
    <t>Pervorchenskim ROVD gor.Vladivostoka</t>
  </si>
  <si>
    <t>Upravleniem vnutrennikh del Velikogo Novgoroda</t>
  </si>
  <si>
    <t xml:space="preserve">34 Otdelom Militcii Primorskogo raiona Sankt-Peterburga </t>
  </si>
  <si>
    <t>Otdelom UFMS Rossii po Samarskoi oblasti v Promyshlennom raione gor.Samary</t>
  </si>
  <si>
    <t>Upravleniem vnutrennikh del Sovetskogo raiona gor.Vladivostoka</t>
  </si>
  <si>
    <t xml:space="preserve">Upravleniem Vnutrennikh del Zheleznodorozhnogo raiona goroda Khabarovska </t>
  </si>
  <si>
    <t>OVD Zheleznodorozhnogo raiona g. Barnaula Altaiskogo kraia</t>
  </si>
  <si>
    <t xml:space="preserve">Pasportnym stolom №1 UVD Krasnogorskogo raiona Moskovskoi oblasti </t>
  </si>
  <si>
    <t>TP №2 Mezhraionnogo OUFMS Rossii po Moskovskoi obl. v gorodskom okruge  Korolev</t>
  </si>
  <si>
    <t xml:space="preserve">2 Otdelom Vnutrennikh del goroda Iakutska </t>
  </si>
  <si>
    <t>Pervomaiskim ROVD gor.Kirova</t>
  </si>
  <si>
    <t>Otdelom UFMS Rossii po Krasnodarskomu kraiu v Prikubanskom okruge gor.Krasnodara</t>
  </si>
  <si>
    <t>Novovoronezhskim GOVD Voronezhskoi oblasti</t>
  </si>
  <si>
    <t>TP №10 Otdela UFMS Rossii po Sankt-Peterburgu  i Leningradskoi obl.v Vyborgskom r-ne gor.Sankt-Peterburga</t>
  </si>
  <si>
    <t xml:space="preserve">TP №1 OUFMS Rossii po Moskovskoi obl. po Leninskomu Munitcipalnomu r-nu </t>
  </si>
  <si>
    <t>Pervomaiskim UVD Sovetskogo administrativnogo okruga goroda Omska</t>
  </si>
  <si>
    <t>OUFMS Rossii po Permskomu kraiu v Industrialnom raione goroda Permi</t>
  </si>
  <si>
    <t>Otdeleniem po raionu Teplyi Stan OUFMS Rossii po gor.Moskve v IuZAO</t>
  </si>
  <si>
    <t xml:space="preserve">Ilinskim Otdeleniem Militcii Krasnogorskogo raiona Moskovskoi oblasti </t>
  </si>
  <si>
    <t>1 GOM UVD Liuberetckogo raiona Moskovskoi oblasti</t>
  </si>
  <si>
    <t>Otdeleniem po raionu Mitino OUFMS Rossii po gor. Moskve</t>
  </si>
  <si>
    <t>OVD Znamenskogo raiona Tambovskoi oblasti</t>
  </si>
  <si>
    <t>Otdelom UFMS Rossii po Chuvashskoi Respublike v Moskovskom raione gor.Cheboksary</t>
  </si>
  <si>
    <t xml:space="preserve">TP№11 Otdela UFMS Rossii po Sankt-Peterburgu i Leningradskoi obl. v Vyborgskom r-ne g.Sankt-Peterburga </t>
  </si>
  <si>
    <t xml:space="preserve">TP v pos.Nemchinovke OUFMS Rossii po Moskovskoi obl. v Odintcovskom r-ne </t>
  </si>
  <si>
    <t xml:space="preserve">Otdeleniem UFMS Rossii po gor.Moskve  po raionu Zamoskvoreche </t>
  </si>
  <si>
    <t xml:space="preserve">Pasportno-Vizovym otdeleniem OVD raiona Zamoskvoreche goroda Moskvy </t>
  </si>
  <si>
    <t xml:space="preserve">Chkalovskim RUVD  goroda Ekaterinburga </t>
  </si>
  <si>
    <t>OVD Kuzminki  gor.Moskvy</t>
  </si>
  <si>
    <t xml:space="preserve">TP №10 otdela UFMS Rossii po Sankt-Peterburgu  i Leningradskoi obl. v Vyborgskom  r-ne gor. Sankt-Peterurga </t>
  </si>
  <si>
    <t>Otdeleniem  po raionu Preobrazhenskoe  OUFMS Rossii po gor.Moskve v VAO</t>
  </si>
  <si>
    <t>Otdelom Vnutrennikh Del Gagarinskogo raiona goroda  Moskvy</t>
  </si>
  <si>
    <t>o-niem v gorodskom okruge Dolgoprudnyi mezhraionnogo OUFMS Rossii po Moskovskoi obl. v gor.poselenii Mytishchi</t>
  </si>
  <si>
    <t>Otdelom UFMS Rossii po Kemerovskoi oblasti v Leninskom raione  goroda Kemerovo</t>
  </si>
  <si>
    <t>TP№56 Otdela UFMS Rossii po Sankt-Peterburgu i Leningradskoi oblasti v Nevskom r-ne gor.Sankt-Peterburga</t>
  </si>
  <si>
    <t>OUFMS Rossii po Volgogradskoi oblasti v Traktorozavodskom  raione gor.Volgograda</t>
  </si>
  <si>
    <t>UVD g.Vologdy</t>
  </si>
  <si>
    <t>OVD Zheleznodorozhnogo raiona goroda Novosibirska</t>
  </si>
  <si>
    <t>Otdeleniem Iubileinyi-Bolshevo OUFMS Rossii po Moskovskoi oblasti v gor.Koroleve</t>
  </si>
  <si>
    <t>Ordzhonikidzevskim ROVD gor.Permi</t>
  </si>
  <si>
    <t xml:space="preserve">Otdelenie UFMS Rossii po gor.Moskve po raionu Sokolniki </t>
  </si>
  <si>
    <t>3 otdelom militcii Orekhovo-Zuevskogo UVD Moskovskoi oblasti</t>
  </si>
  <si>
    <t>TP№6 Mezhraionnogo OUFMS Rossii po Moskovskoi obl. v gorodskom poselenii Liubertcy</t>
  </si>
  <si>
    <t>Otdeleniem №1 Mezhraionnogo otdela UFMS Rossii po Rostovskoi oblasti v g.Rostove-na-Donu</t>
  </si>
  <si>
    <t>Otdeleniem UFMS Rossii po gor. Moskve po raionu Tverskoi</t>
  </si>
  <si>
    <t>77 Otdelom Admiralteiskogo  raiona Sankt-Peterburga</t>
  </si>
  <si>
    <t>OVD"Iakimanka"</t>
  </si>
  <si>
    <t>25 otdelom militcii Primorskogo raiona Sankt-Peterburga</t>
  </si>
  <si>
    <t>Pasportnym stolom №1 OVD "Konkovo" g.Moskvy</t>
  </si>
  <si>
    <t>OVD raiona Marinskiipark goroda Moskvy</t>
  </si>
  <si>
    <t>Otdeleniem po r-nu Gagarinskii OUFMS Rossii po gor.Moskve  v IuZAO</t>
  </si>
  <si>
    <t>Otdeleniem UFMS Rossii po Permskomu kraiu v Leninskom raione goroda Permi</t>
  </si>
  <si>
    <t xml:space="preserve">TP №otdela UFMS Rossii po Sankt-Peterburgu i Leningradskoi obl. v Vyborgskom r-ne g.Sankt-Peterburga </t>
  </si>
  <si>
    <t>TP №26 Otdela UFMS Rossii po Sankt-Peterburgu i Leningradskoi obl. v Kirovskom r-ne gor.Sankt-Peterburga</t>
  </si>
  <si>
    <t xml:space="preserve">Otdeleniem UFMS Rossii po Respublike Tatarstan v Laishevskom raione </t>
  </si>
  <si>
    <t xml:space="preserve">TP№35 otdela UFMS Rossii po Sankt-Peterburgu  i Leningradskoi obl. v Krasnogvardeiskom  r-ne g. Sankt-Peterburga </t>
  </si>
  <si>
    <t>Otdelom Vnutrennikh del Sunzhenskogo raiona Respubliki Ingushetiia</t>
  </si>
  <si>
    <t xml:space="preserve">Upravleniem Vnutrennikh del Sverdlovskogo raiona goroda Irkutska </t>
  </si>
  <si>
    <t>Sovetskim RUVD gor.Ufy resp.Bashkortostan</t>
  </si>
  <si>
    <t>Otdeleniem po raionu Sviblovo OUFMS Rossii po gor.Moskve v SVAO</t>
  </si>
  <si>
    <t xml:space="preserve">27 Otdelom militcii Tcentralnogo raiona  Sankt-Peterburga </t>
  </si>
  <si>
    <t xml:space="preserve">Otdelom UFMS Rossii po Orenburskoi oblasti v  Leninskom raione g.Orenburga </t>
  </si>
  <si>
    <t xml:space="preserve">Otdelom UFMS Rossii po gor.Moskve po raionu Basmannyi </t>
  </si>
  <si>
    <t>Otdelom Vnutrennikh Del Beloglinskogo raiona Krasnodarskogo Kraia</t>
  </si>
  <si>
    <t>Moskovskim otdelom vnutrennikh del goroda Tveri</t>
  </si>
  <si>
    <t>ROVD"Pokrovskoe-Streshnevo"</t>
  </si>
  <si>
    <t>Sovetskim ROVD goroda Riazani</t>
  </si>
  <si>
    <t>Otdelom UFMS Rossii po Krasnoiarskomu kraiu v Sovetskom r-ne gor.Krasnoiarska</t>
  </si>
  <si>
    <t>3 otdelom militcii Kalininskogo raiona Sankt-Peterburga</t>
  </si>
  <si>
    <t>3 otdelom vnutrennikh del Mytishchinskogo UVD Moskovskoi oblasti</t>
  </si>
  <si>
    <t>Otdelom UFMS Rossii po gor.Moskve po raionu Marino</t>
  </si>
  <si>
    <t xml:space="preserve">Stavropolskim ROVD Samarskoi obl. </t>
  </si>
  <si>
    <t xml:space="preserve">68 otdelom militcii Moskovskogo raiona Sankt-Peterburga </t>
  </si>
  <si>
    <t xml:space="preserve">3 otdelom militcii Kalininskogo raiona Sankt-Peterburga </t>
  </si>
  <si>
    <t>Otdelom UFMS Rossii po gor.Moskve po raionu Perovo</t>
  </si>
  <si>
    <t>Otdelom Vnutrennikh del gor.Svobodnogo i Svobodnenskogo raiona Amurskoi oblasti</t>
  </si>
  <si>
    <t>Krasnoperekopskim ROVD gor.Iaroslavlia</t>
  </si>
  <si>
    <t xml:space="preserve">1 otdelom militcii Odintcovskogo UVD Moskovskoi oblasti </t>
  </si>
  <si>
    <t>Otdeleniem UFMS Rossii po gor.Moskve po raionu Ochakovo-Matveevskoe</t>
  </si>
  <si>
    <t>Kirovskim ROVD gor.Astrakhani</t>
  </si>
  <si>
    <t>Otdelom UFMS Rossii po Udmurskoi Respublike v Oktiabrskom r-ne gor.Izhevska</t>
  </si>
  <si>
    <t>OVD Ozerskogo raiona Moskovskoi oblasti</t>
  </si>
  <si>
    <t xml:space="preserve">Otdelom UFMS Rossii po Respublike Mordoviia v Leninskom raione  gor.Saranska </t>
  </si>
  <si>
    <t>OVD Meshchanskii UVD TcAO g. Moskvy</t>
  </si>
  <si>
    <t xml:space="preserve">Otdeleniem UFMS Rossii po Kostromskoi oblasti v Fabrichnom okruge  gor.Kostromy  </t>
  </si>
  <si>
    <t xml:space="preserve">Kirovskim RUVD goroda Ekaterinburga </t>
  </si>
  <si>
    <t>UVD Tcentralnogo raiona goroda Cheliabinska</t>
  </si>
  <si>
    <t xml:space="preserve">UVD Novo-Savinskogo  raiona gor.Kazani </t>
  </si>
  <si>
    <t>OVD r-na Obruchevskii g. Moskvy</t>
  </si>
  <si>
    <t>Otdelom Vnutrennikh Del Frunzenskogo raiona gor. Saratova</t>
  </si>
  <si>
    <t>Otdelom UFMS Rossii po Stavropolskomu kraiu v Promyshlennom raione g.Stavropolia</t>
  </si>
  <si>
    <t>TP №25 otdela UFMS Rossii po Sankt-Peterburgu i Leningradskoi obl. v Kirovskom r-ne g.Sankt-Peterburga</t>
  </si>
  <si>
    <t>Pasportnym stolom №1 UVD Krasnogorskogo raiona Moskovskoi oblasti</t>
  </si>
  <si>
    <t xml:space="preserve">77Otdelom militcii Admiralteiskogo raiona  Sankt -Peterburga </t>
  </si>
  <si>
    <t xml:space="preserve">76 Otdelom Militcii Tcentralnogo raiona Sankt-Peterburga </t>
  </si>
  <si>
    <t>Otdelom militcii №3 UVD gor.Kostromy</t>
  </si>
  <si>
    <t>OUFMS Rossii po Krasnodarskomu Kraiu v Prikubanskom okruge gor.Krasnodara</t>
  </si>
  <si>
    <t xml:space="preserve">76 otdelom militcii tcentralnogo raiona Sankt-Peterburga </t>
  </si>
  <si>
    <t>OVD Sovetskogo r-na gor.Rostova-na-Donu</t>
  </si>
  <si>
    <t xml:space="preserve">Gorodskim otdelom militcii №1 UVD Leninskogo AO goroda Tiumeni </t>
  </si>
  <si>
    <t>Upravleniem Vnutrennikh del Zheleznodorozhnogo raiona g.Khabarovska</t>
  </si>
  <si>
    <t>Otdelom vnutrennikh del Promyshlennogo raiona goroda Stavropolia</t>
  </si>
  <si>
    <t>Upravleniem Vnutrennikh Del Sverdlovskogo raiona goroda Irkutska</t>
  </si>
  <si>
    <t xml:space="preserve">Otdelom UFMS Rossii po Sverdlovskoi oblasti v Kirovskom r-ne gor.Ekaterinburga </t>
  </si>
  <si>
    <t>Otdelom UFMS Rossii po Samarskoi oblasti v Sovetskom raione gor.Samary</t>
  </si>
  <si>
    <t>OUFMS Rossii po Riazanskoi oblasti v Sovetskom raione gor. Riazani</t>
  </si>
  <si>
    <t xml:space="preserve">Upravleniem vnutrennikh del Vsevolozhskogo raiona Leningradskoi oblasti </t>
  </si>
  <si>
    <t>Otdeleniem po raionu Severnoe Butovo OUFMS Rossii po gor.Moskve v IuZAO</t>
  </si>
  <si>
    <t>Otdelom vnutrennikh del Tcentralnogo raiona g.Barnaula</t>
  </si>
  <si>
    <t xml:space="preserve">Otdelom UFMS Rossii po Moskovskoi oblasti v Pavlovo-Posadskom raione </t>
  </si>
  <si>
    <t>Upravleniem vnutrennikh del g.Petrozavodska</t>
  </si>
  <si>
    <t>UVD Tcentralnogo raiona goroda Sochi Krasnodarskogo kraia</t>
  </si>
  <si>
    <t xml:space="preserve">OtdelomUFMS Rossii po Altaiskomu kraiu  v tcentralnom raione g.Barnaula </t>
  </si>
  <si>
    <t>Otdelom №1 UFMS Rossii po Kabardino-Balkarskoi Respublike  v gor.Nalchike</t>
  </si>
  <si>
    <t>UVD Sovetskogo raiona gor.Kazani</t>
  </si>
  <si>
    <t>Otdelom UFMS Rossiipo Kemerovskoi oblasti v Leninskom raione goroda Kemerovo</t>
  </si>
  <si>
    <t xml:space="preserve">Otdelom vnutrennikh del raiona Aeroport goroda Moskvy </t>
  </si>
  <si>
    <t xml:space="preserve">Otdeleniem UFMS Rossii po gor.Moskve po raionu Timiriazevskii </t>
  </si>
  <si>
    <t>UVD gor.Magadana</t>
  </si>
  <si>
    <t xml:space="preserve">UVD Sovetskogo raiona gor.Kazani </t>
  </si>
  <si>
    <t xml:space="preserve">44 otdelom militcii Primorskogo raiona Sankt-Peterburga </t>
  </si>
  <si>
    <t>TP №22 Otdela UFMS Rossii po Sankt-Peterburgu i Leningradskoi obl. v Kalininskom r-ne gor. Sankt-Peterburga</t>
  </si>
  <si>
    <t xml:space="preserve">Upravleniem Vnutrennikh Del gor.Petrazavodska </t>
  </si>
  <si>
    <t>g. Moskva,  Dmitrovskoe shosse d. 33 kor. 6 kv. 49</t>
  </si>
  <si>
    <t>g. Novosibirsk, ul. Frunze, dom 57a, kv. 188</t>
  </si>
  <si>
    <t>Sankt-Peterburg, r. Pesochnyi, ul. Novgorodskaia, dom 48</t>
  </si>
  <si>
    <t>g.Moskva, ul. Kirovogradskaia 4-1-345</t>
  </si>
  <si>
    <t>g. Zelenograd, k.1121, kv. 732</t>
  </si>
  <si>
    <t>Rostovskaia oblast, s.Krym, ul. Sovetskaia, d.19</t>
  </si>
  <si>
    <t>g. Sankt-Peterburg, Primorskii pr., dom 15, kv. 15</t>
  </si>
  <si>
    <t>g. Moskva, ul. Metallurgov, dom 38, kv. 74</t>
  </si>
  <si>
    <t>Moskovskaia oblast, g. Lobnia, ul. Chekhova, dom 14, kv. 44</t>
  </si>
  <si>
    <t>g.Sankt-Peterburg, Krasnoselskoe shosse, d.49, kv.43</t>
  </si>
  <si>
    <t>g. Cheliabinsk, ul. Omskaia, dom 12, kv.114</t>
  </si>
  <si>
    <t>g.Kazan, prospekt Pobedy 78-955</t>
  </si>
  <si>
    <t>Respublika Adygeia, A. Shendzhii, Takhtamukaiskii r-n, ul. Chapaeva, dom 4</t>
  </si>
  <si>
    <t>g. Nizhnii Novgorod, ul. V-Pecherskaia, dom 9, kv. 447</t>
  </si>
  <si>
    <t>g. Balashikha, d. Chernoe, ul. Agrogorodok, dom 18, kv. 172</t>
  </si>
  <si>
    <t>g. Krasnoiarsk, ul. Uritckogo, dom 41, kv. 32</t>
  </si>
  <si>
    <t>g. Sochi, ul. Parallelnaia, dom 9, liter 3, kv. 123</t>
  </si>
  <si>
    <t>g. Arkhangelsk, ul. Papanina, d.11, kv. 75</t>
  </si>
  <si>
    <t>g. Moskva, ul. 26 Bakinskikh Komissarov, dom 8, korp. 1, kv. 89</t>
  </si>
  <si>
    <t>g. Kaliningrad, ul. Levitana, dom 61, kv. 69</t>
  </si>
  <si>
    <t>g. Vsevolozhek, ul. Aleksandrovskaia, dom 77, korp. 1, kv. 116</t>
  </si>
  <si>
    <t>pos. Malakhovka, ul. Komsomolskaia d.3, kv.87</t>
  </si>
  <si>
    <t>g. Volgograd, ul. Marshala Eremenko, dom 134, kv. 80</t>
  </si>
  <si>
    <t>Moskva, ul. Deviataia Rota d.27 kv.23</t>
  </si>
  <si>
    <t>g.Podolsk, Krasnogvardeiskii b-r, d.15, kv.24</t>
  </si>
  <si>
    <t>g. Nizhnii Novgorod, ul. Rodionova, dom 193, korp. 6,kv.31</t>
  </si>
  <si>
    <t>g. Arkhangelsk, ul. Volgogradskaia, dom 38, kv. 86</t>
  </si>
  <si>
    <t>g. Sankt-Peterburg, ul. Ushinskogo, dom 39, korp 3, kv. 132</t>
  </si>
  <si>
    <t>g. Sankt-Peterburg, pr. Toreza, dom 28, kv. 141</t>
  </si>
  <si>
    <t>g. Pskov, Rizhskii prospekt, d.45, kv.111</t>
  </si>
  <si>
    <t>g Moskva, Smolenskaia-Sennaia ploshchad 23/25 kv. 92</t>
  </si>
  <si>
    <t>g. Novosibirsk, Krasnyi prospekt, dom 402/1, kv. 26</t>
  </si>
  <si>
    <t>g. Sankt-Peterburg, pr-kt Toreza d.36, k.2, kv.4</t>
  </si>
  <si>
    <t>g. Murmansk, ul. Poliarnye Zori, d.23, kv.20</t>
  </si>
  <si>
    <t>g Moskva, Sevastopolskii prospekt, d 63/20 kv 137</t>
  </si>
  <si>
    <t>g. Moskva, ul. Donskaia, d.6, kv.20</t>
  </si>
  <si>
    <t>g. Moskva, Shchelkovskoe shosse, dom 26, k. 1, kv. 61</t>
  </si>
  <si>
    <t>g. Khabarovsk, ul. Dikopoltceva, d. 23, kv. 26</t>
  </si>
  <si>
    <t>Khabarovsk, Sanitarnaia ul. 7. 86</t>
  </si>
  <si>
    <t>g. Kemerovo, ul. Kirova, d.23, kv.12</t>
  </si>
  <si>
    <t>g. Novosibirsk, ul. Dubravy, 31 a</t>
  </si>
  <si>
    <t>g Krasnoiarsk, ul Gorkogo 36a kv 8</t>
  </si>
  <si>
    <t>g. Moskva, ul. Tciurupy, d. 16, k. 1, kv. 169</t>
  </si>
  <si>
    <t>g. Moskva, Proletarskii pr-t, dom 7a, kv. 34</t>
  </si>
  <si>
    <t>g. Samara, ul.Rabochaia, d 85 kv 119</t>
  </si>
  <si>
    <t>g.Moskva, Miachkovskii bulvar, d. 6, kv. 134</t>
  </si>
  <si>
    <t>g. Novosibirsk, ul. Kedrovaia, 67, kv.13</t>
  </si>
  <si>
    <t>g. Maikop, ul.Iunnatov, d.2, k.V, kv.32</t>
  </si>
  <si>
    <t>g. Moskva, ul. Tallinskaia 24-466</t>
  </si>
  <si>
    <t>g. Saratov, ul. Sovetskaia 34, kv. 11</t>
  </si>
  <si>
    <t>g. Kazan, ul. Tolstogo, d. 18, kv. 22</t>
  </si>
  <si>
    <t>g. Nizhnii Novgorod, ul. Genkinoi, dom 28, kv. 4</t>
  </si>
  <si>
    <t>Mosk. Obl, g. Khimki, ul. Pozharskogo, d. 27, kv. 159</t>
  </si>
  <si>
    <t>g. Sankt-Peterburg, r-n Admiralteiskii, ul. Gelernaia, dom 21, kv.11</t>
  </si>
  <si>
    <t>g. Sankt-Peterburg, pr. Veteranov, 151, kor.2, kv.39</t>
  </si>
  <si>
    <t>g. Moskva, ul. 2-ia Vladimirskaia, dom 45, kv. 181</t>
  </si>
  <si>
    <t>g. Moskva, ul. Kosinskaia, 18</t>
  </si>
  <si>
    <t>g Sankt-Peterburg, ul. Chapygina 5, 11</t>
  </si>
  <si>
    <t>g. Kazan, ul. Ostrovskogo, 1/6, kv.43</t>
  </si>
  <si>
    <t>Moskovskaia oblast, p. Lunevo, dom 5, kv. 57</t>
  </si>
  <si>
    <t>g. Ufa, ul. 50-letiia Oktiabria, 6/8, kv. 70</t>
  </si>
  <si>
    <t>g. Moskva, Vrachebnyi pr-d, dom 7, korp. 1, kv. 31</t>
  </si>
  <si>
    <t xml:space="preserve">g. Vladivostok, pr-t 100-letiia Vladdivostoka, d.107, kv.96 </t>
  </si>
  <si>
    <t>g. Ufa, ul. Lenina, dom 67, korp. 1, kv. 2</t>
  </si>
  <si>
    <t>g. Sankt-Peterburg, ul. Rudneva, 31/29, 12</t>
  </si>
  <si>
    <t>Moskovskaia oblast, poselok MPS, dom 13, kv. 3</t>
  </si>
  <si>
    <t>g. Pskov, ul. Rokossovskogo, d. 32, kv.75</t>
  </si>
  <si>
    <t>g. Sankt-Peterburg, ul. Podvodnika Kuzmina, 24, kv.26</t>
  </si>
  <si>
    <t>g. Moskva, ul. Profsoiuznaia, d.96, korp.1, kv.26</t>
  </si>
  <si>
    <t>g.Sankt-Peterburg, ul. Marshala Kazakova, d.28, k.1, kv.406</t>
  </si>
  <si>
    <t>MO, ul. Vatutinki-2, dom 38, kv. 73</t>
  </si>
  <si>
    <t>g. Moskva, Checherskii pr. 30 kv.20</t>
  </si>
  <si>
    <t>Moskva, Khimkinskii b-r, 14-2-41</t>
  </si>
  <si>
    <t>g. Voronezh, Naberezhnaia Aviastroitelei, dom 18, kv. 294</t>
  </si>
  <si>
    <t>Moskva, ul. Letchika Babushkina, d.31, k.2</t>
  </si>
  <si>
    <t>g. Sankt-Peterburg, ul. Briantceva, dom 7, korp. 1, kv 558</t>
  </si>
  <si>
    <t>g. Saratov, ul. Chernyshevskogo, dom 129, kv. 32</t>
  </si>
  <si>
    <t>g. Samara, ul. Aleksandra Matrosova, dom 57/63, kv. 125</t>
  </si>
  <si>
    <t>g. Petrozavodsk, ul. Marshala Meretckova, 14A, kv.59</t>
  </si>
  <si>
    <t>g. Sankt-Peterburg, Moskovskii pr,  d.202, kv.56</t>
  </si>
  <si>
    <t>g. Nizhnii Novgorod, ul. Bogorodskogo, d.7, korp. 3, kv.21</t>
  </si>
  <si>
    <t>g. Lipetck, ul. Kosmonavtov, d 47, k. 7, kv 18</t>
  </si>
  <si>
    <t>g. Troitck, ul. 1-ia Lazurnaia, dom 13.</t>
  </si>
  <si>
    <t>g. Voronezh, ul. Krivosheina, dom 72, kv. 96</t>
  </si>
  <si>
    <t>g. Moskva, ul. Verkhnie polia, dom 4, kv.134</t>
  </si>
  <si>
    <t xml:space="preserve">Sankt-Peterburg, pr. Engelsa, d. 76, korpus 2, kv. 42 </t>
  </si>
  <si>
    <t>g. Iaroslavl, ul. S.Ordzhonikidze, dom 22, kv.38</t>
  </si>
  <si>
    <t>g. Kaliningrad, ul. Zelenaia, dom 89, kv. 33</t>
  </si>
  <si>
    <t>g. Sankt-Peterburg, ul. Kriukova, d.10, kv.21</t>
  </si>
  <si>
    <t>g Ekaterinburg,ul. Akademika Postovskogo 17</t>
  </si>
  <si>
    <t>Leningradskaia oblast, Vyborgskoe shosse, dom 7, kv.81</t>
  </si>
  <si>
    <t>g. Velikii Novgorod, ul. Sviazi, d.5a, kv.8</t>
  </si>
  <si>
    <t>g. Samara, ul. Stara Zagora, dom 77, kv. 55</t>
  </si>
  <si>
    <t>g. Vladivostok, ul. Kutuzova 5v, kv.32</t>
  </si>
  <si>
    <t>Moskovskaia oblast, ul. Lenina, dom 38b, kv. 94</t>
  </si>
  <si>
    <t>Kirov, ul. Moskovskaia, d. 109, korp. 2, kv. 29</t>
  </si>
  <si>
    <t>g. Krasnodar, ul. Krasnykh Partizan, dom 109, kv. 214</t>
  </si>
  <si>
    <t>g. Voronezh, bulvar Pobedy, 51</t>
  </si>
  <si>
    <t>g. Moskva, Bittcevskii proezd 15-126</t>
  </si>
  <si>
    <t>g. Khanty-Mansiisk, ul. Obezdnaia, dom 6, kv. 129</t>
  </si>
  <si>
    <t>g Perm, ul Dokuchaeva, 34-5</t>
  </si>
  <si>
    <t>g. Liubertcy, Oktiabrskii pr., dom 380zh, kv 35</t>
  </si>
  <si>
    <t>Tambovskaia oblast, rn. Znamenko, ul. Michurina, dom 2</t>
  </si>
  <si>
    <t>g. Sankt-Peterburg, ul. Kronverkskaia, 27-13</t>
  </si>
  <si>
    <t>Moskovskii bank Sberbanka Rossii g. Moskva</t>
  </si>
  <si>
    <t>g. Ekaterinburg, ul. Poldnevaia, 43</t>
  </si>
  <si>
    <t>g. Moskva, Volgogradskii prospekt dom 128 korpus 4 kvartira 55</t>
  </si>
  <si>
    <t>107076 Moskva, ul. Preobrazhenskaia dom 5/7 kv. 147</t>
  </si>
  <si>
    <t>g. Moskva, Leninskii prospekt, 75/9, kv 117</t>
  </si>
  <si>
    <t>g. Kemerovo, Leninskii raion, Oktiabrskii prospekt, d.103, kv.243</t>
  </si>
  <si>
    <t>Moskva, Izmailovskii bulvar, d.32/23, k.1, kv.70</t>
  </si>
  <si>
    <t>g. Volgograd, Naberezhnaia Volzhskoi Flotilii, dom 21,kv. 149</t>
  </si>
  <si>
    <t>g. Korolev, mkr. Bolevaul. Stantcionnaia, 47a-17</t>
  </si>
  <si>
    <t>g. Perm, ul. Pushkina, d.23, kv.46</t>
  </si>
  <si>
    <t>g Moskva, ul. Tverskaia, 25/9, kv. 27</t>
  </si>
  <si>
    <t>g. Sankt-Peterburg, prospekt Kultury, d.7, korp.1, kv.244</t>
  </si>
  <si>
    <t>g. Moskva, ul. Novomarinskaia 36-1-163</t>
  </si>
  <si>
    <t>g. Moskva, Leninskii prospekt, dom 70/11, kv. 571</t>
  </si>
  <si>
    <t>g. Perm, ul. Lunacharskogo, d.90, kv.92</t>
  </si>
  <si>
    <t>g. Sankt-Peterburg, ul. Sikeirosa, d.17, k.3, kv.100</t>
  </si>
  <si>
    <t>g. Ufa, ul. Mingazheva, d.121/2, kv. 17</t>
  </si>
  <si>
    <t>g. Moskva, sh. Entuziastov, d.100, k.5, kv.109</t>
  </si>
  <si>
    <t xml:space="preserve"> Moskva, ul. Pr-d Rusanova d.5 kv.381</t>
  </si>
  <si>
    <t>g.Orenburg, Leninskii raion, poselok Rostosh, ul. Otradnaia. D.60</t>
  </si>
  <si>
    <t>ul. Rashpilevskaia 180, kv.7</t>
  </si>
  <si>
    <t>g. Riazan, ul. Svobody, d.26, kv.15</t>
  </si>
  <si>
    <t>g. Vladikavkaz, ul. Borodinskaia, dom 5A, kv. 19</t>
  </si>
  <si>
    <t>g. Krasnoiarsk, ul. Daurskaia, dom 10, kv. 247</t>
  </si>
  <si>
    <t>Moskovskaia obl, Mytishchinskii r-n, Mytishchi g, Kolpakova ul, dom № 23, korpus 1, kv.3</t>
  </si>
  <si>
    <t>g. Sankt-Peterburg, Kovenskii per. d.30, kv.10</t>
  </si>
  <si>
    <t>Otdelenie №6991 Sberbanka Rossii g. Samara</t>
  </si>
  <si>
    <t>g. Sankt-Peterburg, ul. Varshavskaia, dom 122, kv. 136</t>
  </si>
  <si>
    <t>g. Sankt-Peterburg, r-n Pushkinskii, pos. Shushary, ul. Galitckaia, ul Slavianka, dom 19, korp. 3, kv. 9</t>
  </si>
  <si>
    <t>g. Moskva, Novogireevskaia ul., d. 8, k. 3, kv. 37</t>
  </si>
  <si>
    <t>g. Blagoveshchensk ul. Zeiskaia d 141. kv. 94</t>
  </si>
  <si>
    <t>g. Iaroslavl, ul. Neftianikov, dom 27, kv.29</t>
  </si>
  <si>
    <t>g. Odintcovo, Mozhaiskoe shosse, d.93,kv.21</t>
  </si>
  <si>
    <t>g. Velikii Novgorod, ul. b. L. Golikova, d.6, kv.95</t>
  </si>
  <si>
    <t>g. Moskva, ul. Veernaia, 1-4-19</t>
  </si>
  <si>
    <t>g. Izhevsk, ul. Shkolnaia, d. 72, kv. 46</t>
  </si>
  <si>
    <t>g. Moskva, ul. Sudostroitelnaia, dom 28, k. 1, kv. 96</t>
  </si>
  <si>
    <t>Respublika Mordoviia, g. Saransk, ul. Proletarskaia, dom 44A, kv. 25</t>
  </si>
  <si>
    <t>g. Kostroma, ul. Kozueva, dom 21, kv.7</t>
  </si>
  <si>
    <t>g. Kazan, ul. Zhurnalistov, dom 2, kv. 47</t>
  </si>
  <si>
    <t>g. Stavropol, ul. 50 let VLKSM, dom 55, korp. 1, kv. 124</t>
  </si>
  <si>
    <t>g. Vologda, ul. Tekstilshchikov, 13, kv.50</t>
  </si>
  <si>
    <t>Sankt-Peterburg, pr. Rizhskii, dom 30, kv. 25</t>
  </si>
  <si>
    <t>g. Sankt Peterburg, ul. Tverskaia, dom 16, kv.47</t>
  </si>
  <si>
    <t>g. Khabarovsk, Vostochnoe shosse , 34-87</t>
  </si>
  <si>
    <t>g.Stavropol, ul. Shpakovskaia, d.86,k.1,kv.12</t>
  </si>
  <si>
    <t>g. Ekaterinburg, Sirenevyi bul., dom 5, kv. 22</t>
  </si>
  <si>
    <t>g. Moskva, ul. 15 Parkovaia, 40-5-23</t>
  </si>
  <si>
    <t>Moskva, Leningradskoe sh., 35-48</t>
  </si>
  <si>
    <t xml:space="preserve">Sankt-Peterburg, Leninskii pr 72\1-838  </t>
  </si>
  <si>
    <t>g. Moskva, ul. Grina, dom 13, kv. 349</t>
  </si>
  <si>
    <t>g. Moskva, ul. Udaltcova, dom 17, k.1, kv. 48</t>
  </si>
  <si>
    <t>g. Sochi, ul. Plastunskaia, 181-13</t>
  </si>
  <si>
    <t>g. Kazan, ul. 8-oe Marta, dom 2, kv. 63</t>
  </si>
  <si>
    <t>g.Moskva, ul. Krasnoarmeiskaia 26-1-61</t>
  </si>
  <si>
    <t>g. Moskva, ul. Krasnoprudnaia, 2</t>
  </si>
  <si>
    <t>g. Kazan, ul., Bigicheva, dom 25, kv. 48</t>
  </si>
  <si>
    <t>g. Sankt-Peterburg, ul. Markina, d.16a, kv.30</t>
  </si>
  <si>
    <t>g. Petrozavodsk, ul. Chkalova, 45A, kv.81</t>
  </si>
  <si>
    <t>ПАО Сбербанк России</t>
  </si>
  <si>
    <t>Северо-западный  банк ПАО Сбербанк России, г. Санк-Петербург</t>
  </si>
  <si>
    <t>ПАО Сбербанк России Москва</t>
  </si>
  <si>
    <t>ПАО Сбербанк России Саратовское отделение 8622, г. Саратов</t>
  </si>
  <si>
    <t>ПАО Сбербанк России Самарское отделение №6991</t>
  </si>
  <si>
    <t>Уральский банк ПАО Сбербанк России, г. Екатеринбург</t>
  </si>
  <si>
    <t>ПАО Сбербанк России Царицинское ОСБ №7978/1320</t>
  </si>
  <si>
    <t>Филиал ПАО Сбербанк России Западно-Уральский банк</t>
  </si>
  <si>
    <t>Тамбовское отделение ПАО Сбербанк России</t>
  </si>
  <si>
    <t>ПАО Сбербанк России, Д/О 5278/01750</t>
  </si>
  <si>
    <t>ОПЕРУ Северо-Кавказский банк ПАО Сбербанк России</t>
  </si>
  <si>
    <t>Северо-западный банк ПАО Сбербанк России</t>
  </si>
  <si>
    <t>ПАО Сбербанк России Доп. Офис СБ №9038/01679</t>
  </si>
  <si>
    <t>Отделение ПАО Сбербанка России г. Барнаул</t>
  </si>
  <si>
    <t>Северо-западный банк ПАО Сбербанк России г. Петрозаводск</t>
  </si>
  <si>
    <t>Severo-Zapadnyi bank PAO Sberbank g. Sankt-Peterburg</t>
  </si>
  <si>
    <t>PAO Rossiiskom natcionalnom kommercheskom banke (RNKB) g. Simferopol</t>
  </si>
  <si>
    <t>Filial Severnaia Stolitca ZAO Raiffaizenbank v g. Sankt-Peterburge</t>
  </si>
  <si>
    <t>PAO SBERBANK g. Moskva</t>
  </si>
  <si>
    <t>Filial №2754 Banka VTB 24 (PAO), g. Khabarovsk</t>
  </si>
  <si>
    <t>Otdelenie 5221 Sberbanka Rossii v g. Rostov-na-Donu</t>
  </si>
  <si>
    <t>Severo-Zapadnyi bank Sberbanka RF, g. Sankt-Peterburg</t>
  </si>
  <si>
    <t>Sberbank Rossii PAO</t>
  </si>
  <si>
    <t>Severo-zapadnyi bank PAO Sberbank Rossii g. Sankt-Peterburg</t>
  </si>
  <si>
    <t>Sberbank Rossii, OSB 08544/0195, g. Cheliabinsk</t>
  </si>
  <si>
    <t>Novgorodkoe otdelenie 8629 PAO Sberbank g. Velikii Novgorod</t>
  </si>
  <si>
    <t xml:space="preserve">OAO “AK BARS BANK” BANK </t>
  </si>
  <si>
    <t>Volgo-Viatskii bank Sberbanka Rossii  g. Nizhnii Novgorod</t>
  </si>
  <si>
    <t>Filial №5440 VTB24 (ZAO)</t>
  </si>
  <si>
    <t>PAO «VTB 24» g. Moskva</t>
  </si>
  <si>
    <t>OAO Promsviazbank g. Moskva</t>
  </si>
  <si>
    <t>Krasnoiarskoe gorodskoe Otdelenie №161 AK SB RF/OAO/ g. Krasnoiarsk</t>
  </si>
  <si>
    <t>VTB 24 (PAO) v g. Moskve</t>
  </si>
  <si>
    <t>PAO Sberbank Rossii, otdelenie 8637, g. Arkhangelsk</t>
  </si>
  <si>
    <t xml:space="preserve">Iugo-Zapadnyi Bank PAO Sberbank g.Rostov-na-Donu, otdelenie N5221  </t>
  </si>
  <si>
    <t>OAO SKB-bank</t>
  </si>
  <si>
    <t>Avtozavodskoe otdelenie №8213 Sberbanka RF, g. Toliatti</t>
  </si>
  <si>
    <t>Raiffaizen Bank</t>
  </si>
  <si>
    <t>TcOPP №8621/07771 PAO Sberbank</t>
  </si>
  <si>
    <t>PAO SBERBANK, G.MOSKVA</t>
  </si>
  <si>
    <t>PAO Sberbank, g. Moskva</t>
  </si>
  <si>
    <t>ZAO VTB24</t>
  </si>
  <si>
    <t>Bank Arkhangelskoe OSB №8637/0009 RF</t>
  </si>
  <si>
    <t>Severo-zapadnyi  bank PAO Sberbank Rossii, g. Sank-Peterburg</t>
  </si>
  <si>
    <t xml:space="preserve">Severo-Zapadnyi bank Sberbanka RF g. Sankt-Peterburg </t>
  </si>
  <si>
    <t>Otdelenie №5630 Sberbanka Rossii, g. Pskov</t>
  </si>
  <si>
    <t>SEVERO-ZAPADNYI BANK PAO SBERBANK G.SANKT-PETERBURG</t>
  </si>
  <si>
    <t>DO Chkalovskii Novosibirskii filial PAO MDM BANK</t>
  </si>
  <si>
    <t>AO Alfa-Bank, g. Murmansk</t>
  </si>
  <si>
    <t>OAO «Sberbank Rossii»</t>
  </si>
  <si>
    <t>OAO Moskovskii kreditnyi bank</t>
  </si>
  <si>
    <t>Dalnevostochnyi bank Sberbanka RF, Dop. Ofis 9070/010</t>
  </si>
  <si>
    <t>VTB 24 (ZAO)</t>
  </si>
  <si>
    <t>Sibirskii bank SB RF</t>
  </si>
  <si>
    <t>Arkhangelskoe otdelenie №8637 PAO Sberbank, g. Arkhangelsk</t>
  </si>
  <si>
    <t>Direktciia Alemar OAO Mezhtopenergobank</t>
  </si>
  <si>
    <t>Tcentralno-Chernozemnyi bank PAO Sberbank g. Voronezh</t>
  </si>
  <si>
    <t>Povolzhskii Bank PAO Sberbarnk</t>
  </si>
  <si>
    <t>VTB 24 (PAO)</t>
  </si>
  <si>
    <t>FAK SB RF OAO Kirovskoe otdelenie V Povolzhskom banke Sberbanka RF g. Samara</t>
  </si>
  <si>
    <t>Moskovskii Bank Sberbanka Rossii</t>
  </si>
  <si>
    <t>Povolzhskii bank Sberbank Rossii g. Samara Samarskoe otdelenie № 6991</t>
  </si>
  <si>
    <t>Dalnevostochnyi Bank PAO Sberbank, Primorskoe OSB 8635/00161</t>
  </si>
  <si>
    <t xml:space="preserve">Iugo-Zapadnyi bank Sberbanka Rossii </t>
  </si>
  <si>
    <t>PAO Sberbank Rossii Moskva</t>
  </si>
  <si>
    <t>PAO Sberbank Rossii Saratovskoe otdelenie 8622, g. Saratov</t>
  </si>
  <si>
    <t>Otdelenie № 8610 Sberbank Rossii, g. Kazan</t>
  </si>
  <si>
    <t>Volgo-Viatskii bank Sberbanka Rossii g. Nizhnii Novgorod</t>
  </si>
  <si>
    <t>PAO Bank Sankt-Peterburg</t>
  </si>
  <si>
    <t>PAO Rosbank</t>
  </si>
  <si>
    <t>ZAO KB «Sitibank» v g. Moskva</t>
  </si>
  <si>
    <t xml:space="preserve">Dopolnitelnyi ofis № 9038/01545 OAO «Sberbank Rossii» </t>
  </si>
  <si>
    <t>Filial OAO URALSIB v g. Ufa</t>
  </si>
  <si>
    <t>Sberbank Rossii,  Tcaritcynskoe OSB 7978/0874</t>
  </si>
  <si>
    <t>Severo-Zapadnyi bank PAO Sberbank, g. Sankt-Peterburg</t>
  </si>
  <si>
    <t>Sberbank Rossii</t>
  </si>
  <si>
    <t>Otdelenie №8598 Sberbanka Rossii g. Ufa</t>
  </si>
  <si>
    <t>NB Trast OAO Otdelenie banka Filial v SPb</t>
  </si>
  <si>
    <t>Moskovskii Bank PAO Sberbank g. Moskva dop.ofis 9038/01748</t>
  </si>
  <si>
    <t>Zapadno-Uralskii Bank PAO Sberbank, Perm</t>
  </si>
  <si>
    <t>GPG (OAO)</t>
  </si>
  <si>
    <t>AO «Alfa-Bank» g. Moskva</t>
  </si>
  <si>
    <t>Bashkirskoe otdelenie  № 8598 PAO Sberbank g. Ufa</t>
  </si>
  <si>
    <t>dop. Ofis №9038/01260 Sberbanka Rossii OAO</t>
  </si>
  <si>
    <t>Saratovskoe otdelenie №8622 PAO Sberbank g. Saratov</t>
  </si>
  <si>
    <t>PAO Sberbank g. Moskva</t>
  </si>
  <si>
    <t>PAO Sberbank Rossii Samarskoe otdelenie №6991</t>
  </si>
  <si>
    <t>Bank VTB PAO Iaroslavl</t>
  </si>
  <si>
    <t>Otdelenie N8619 PAO Sberbank, g.Krasnodar (Krasnodarskoe otdelenie №8619)</t>
  </si>
  <si>
    <t xml:space="preserve">Volgo-Viatskii bank Sberbanka Rossii </t>
  </si>
  <si>
    <t>otdelenie №8593 Sberbank Rossii g. Lipetck</t>
  </si>
  <si>
    <t>PAO SKB-bank</t>
  </si>
  <si>
    <t>Otdelenii № 8621 PAO SBERBANK g. Volgograd</t>
  </si>
  <si>
    <t>Tcentralno-Chernozemnyi bank SB RF g. Voronezh</t>
  </si>
  <si>
    <t>Kirovskoe OSB 8047 Sibirskii bank Sberbanka Rossii</t>
  </si>
  <si>
    <t>OAO Alfa-Bank Moskva</t>
  </si>
  <si>
    <t>Dalnevostochnyi Bank PAO Sberbank g. Khabarovsk</t>
  </si>
  <si>
    <t>Iaroslavskoe otdelenie Sberegatelnogo banka №17</t>
  </si>
  <si>
    <t>OAO ALFA-BANK g. Moskva</t>
  </si>
  <si>
    <t>Dalnevostochnyi bank  PAO Sberbank g. Khabarovsk</t>
  </si>
  <si>
    <t>Iugo-Zapadnyi Bank PAO Sberbank, Rostov-na-Donu</t>
  </si>
  <si>
    <t>Uralskii bank PAO Sberbank Rossii, g. Ekaterinburg</t>
  </si>
  <si>
    <t>Severo-Zapadnyi bank OAO «SBERBANK ROSSII» g.Sankt-Peterburg</t>
  </si>
  <si>
    <t>Otdelenie №8635 Dalnevostochnyi Bank PAO Sberbank Vladivostok</t>
  </si>
  <si>
    <t>Samarskoe otdelenie №6991/0243 Sberbanka Rossii</t>
  </si>
  <si>
    <t>Dalnevostochnyi filial PAO Rosbank</t>
  </si>
  <si>
    <t>Dalnevostochnyi bank PAO Sberbank, Dop. Ofis 9070/00119</t>
  </si>
  <si>
    <t>Sberbank Rossii g. Moskva</t>
  </si>
  <si>
    <t>VTB 24 PAO g. Moskva</t>
  </si>
  <si>
    <t>Gorodskoe otdelenie  № 69 Sberbanka RF g.Kirov</t>
  </si>
  <si>
    <t>Otelenie №8619 Sberbanka Rossii</t>
  </si>
  <si>
    <t>PAO Sberbank Rossii Tcaritcinskoe OSB №7978/1320</t>
  </si>
  <si>
    <t>Filial PAO Sberbank Rossii Zapadno-Uralskii bank</t>
  </si>
  <si>
    <t>Sberbank Rossii OAO g. Moskva</t>
  </si>
  <si>
    <t>VTB24</t>
  </si>
  <si>
    <t>Tambovskoe otdelenie PAO Sberbank Rossii</t>
  </si>
  <si>
    <t>Filial Sberbanka OSB № 8613/38 g. Cheboksary</t>
  </si>
  <si>
    <t>Petrogradskoe OSB №1879 Severo-Zapadnyi bank Sberbanka RF g. Sankt-Peterburg</t>
  </si>
  <si>
    <t>Sberbank Rossii, Uralskii bank Sberbanka Rossii</t>
  </si>
  <si>
    <t>Sberbank Rosssii OAO g Moskva</t>
  </si>
  <si>
    <t xml:space="preserve">Otdelenie N 8615 Sberbanka Rossii G.Kemerovo </t>
  </si>
  <si>
    <t xml:space="preserve">Moskovskii filial PAO «Rosbank» </t>
  </si>
  <si>
    <t>Korolevskoe otdelenie № 2570/095 Srednerusskogo banka SB RF Sberbank</t>
  </si>
  <si>
    <t>Dopolnitelnyi ofis 6984/0333 v g. Perm</t>
  </si>
  <si>
    <t>AO KB «SitiBank» g. Moskva</t>
  </si>
  <si>
    <t>Filial Banka GPB (AO) v g. Rostov-na-Donu</t>
  </si>
  <si>
    <t>Severo-Zapadnyi bank Sberbank Rossii</t>
  </si>
  <si>
    <t xml:space="preserve">PAO Sberbank g. Moskva </t>
  </si>
  <si>
    <t>PAO Sberbank Rossii, D/O 5278/01750</t>
  </si>
  <si>
    <t>ZAO KB Sitibank</t>
  </si>
  <si>
    <t>Permskoe OSB №6984 Sberbanka Rossii</t>
  </si>
  <si>
    <t>Filial № 5440 PAO «VTB 24», g. Novosibirsk</t>
  </si>
  <si>
    <t>OAO Sberbank Rossii</t>
  </si>
  <si>
    <t>Dopolnitelnyi ofis N 4 F-L GPG (OAO) v g. Orenburge</t>
  </si>
  <si>
    <t>Iugo-Zapadnyi bank SB RF Krasnodar</t>
  </si>
  <si>
    <t>Tverskoe otdelenie №8607 PAO Sberbank g. Tver</t>
  </si>
  <si>
    <t>Riazanskoe OSB №8606 g. Riazan</t>
  </si>
  <si>
    <t>OAO Rosselkhozbank</t>
  </si>
  <si>
    <t>Otdelenie po Krasnoiarskomu kraiu №9031/0059 Sberbanka Rossii</t>
  </si>
  <si>
    <t>VTB 24(PAO)</t>
  </si>
  <si>
    <t>Severo-Zapadnyi bank  Sberbanka RF g. Sankt-Peterburg</t>
  </si>
  <si>
    <t>Aziatsko-tikhookeanskii bank PAO g. Blagoveshchensk</t>
  </si>
  <si>
    <t>Severnyi bank Sberbanka Rossii</t>
  </si>
  <si>
    <t>Severo-Zapadnyi bank Sberbanka RF, g. Sankt-Peterburg dop.ofis 8629/01422 g. Velikii Novgorod</t>
  </si>
  <si>
    <t>Sberbank Rossii OAO</t>
  </si>
  <si>
    <t>OAO VKABANK g. Astrakhan</t>
  </si>
  <si>
    <t xml:space="preserve">AO «Alfa-Bank», g.Moskva </t>
  </si>
  <si>
    <t>Otdelenie №8589 Sberbanka Rossii</t>
  </si>
  <si>
    <t>Severnyi bank Sberbanka Rossii, otdelenie №8640 Sberbanka Rossii</t>
  </si>
  <si>
    <t>Cheliabinskoe otdelenie N8597 PAO SBERBANK, g. Cheliabinsk</t>
  </si>
  <si>
    <t>Donskoe OSB 7813 Sberbank PAO</t>
  </si>
  <si>
    <t>Otdelenie №8622 Sberbanka Rossii g. Saratov</t>
  </si>
  <si>
    <t>OPERU Severo-Kavkazskii bank PAO Sberbank Rossii</t>
  </si>
  <si>
    <t>AO KB Severnyi Kredit g. Vologda</t>
  </si>
  <si>
    <t>F-L SEVERNAIa STOLITcA AO RAIFFAIZENBANK G SANKT-PETERBURG</t>
  </si>
  <si>
    <t>OAO «Alfa-Bank»</t>
  </si>
  <si>
    <t>Severo-zapadnyi bank PAO Sberbank Rossii</t>
  </si>
  <si>
    <t>Dop. ofis №9038/097 PAO Sberbank</t>
  </si>
  <si>
    <t>PAO Binbank, g. Moskva</t>
  </si>
  <si>
    <t>PAO «Zapsibkombank» g. Tiumen</t>
  </si>
  <si>
    <t>Severo-Kavkazskii bank OAO «Sberbank Rossii» g.Stavropol</t>
  </si>
  <si>
    <t>Moskovskii bank №9038 SDO №01014 Sberbanka Rossii OAO</t>
  </si>
  <si>
    <t>OAO BALTIISKII BANK</t>
  </si>
  <si>
    <t>PAO Sberbank Rossii Dop. Ofis SB №9038/01679</t>
  </si>
  <si>
    <t xml:space="preserve"> Sibirskii bank PAO SBERBANK g. Novosibirsk, otdelenie 8047</t>
  </si>
  <si>
    <t>Donskoe otdelenie 7813/01017 Sberbanka Rossii g Moskva</t>
  </si>
  <si>
    <t>Krasnodarskoe otdelenie №8619 g. Krasnodar</t>
  </si>
  <si>
    <t>Otdelenie PAO Sberbanka Rossii g. Barnaul</t>
  </si>
  <si>
    <t>OSB Bank Tatarstan 8610 SB RF g. Kazanb</t>
  </si>
  <si>
    <t>Kemerovskoe otdelenie v GRKTc GU Banka Rossii po Kemerovskoi obl</t>
  </si>
  <si>
    <t>Sberbank Rossii filial №7982/0331</t>
  </si>
  <si>
    <t>AO KB «SitiBank» v g. Moskva</t>
  </si>
  <si>
    <t>PAO SBERBANK</t>
  </si>
  <si>
    <t>Bank Tatarstan SB RF g. Kazan</t>
  </si>
  <si>
    <t>Peterburgskii filial ZAO Iunikredit Bank</t>
  </si>
  <si>
    <t>Chechenskii RF OA Rosselkhozbank g. Groznyi</t>
  </si>
  <si>
    <t>Severo-zapadnyi bank PAO Sberbank Rossii g. Petrozavodsk</t>
  </si>
  <si>
    <t>Консультанты</t>
  </si>
  <si>
    <t>Лекторы и тренеры</t>
  </si>
  <si>
    <t>Лекция на Сателлитном симпозиуме/Пленарном заседании/Секционном заседании</t>
  </si>
  <si>
    <t>Председательство/модерирование на саттелитном симпозиуме ПЛЮС лекция</t>
  </si>
  <si>
    <t>Председательство/модерирование на саттелитном симпозиуме</t>
  </si>
  <si>
    <t>Проведение Мастер-класса (симуляционный центр, образовательный центр)</t>
  </si>
  <si>
    <t>Лекция на Круглом столе</t>
  </si>
  <si>
    <t>Модерирование на Круглом столе ПЛЮС лекция</t>
  </si>
  <si>
    <t>Модерирование Круглого стола</t>
  </si>
  <si>
    <t>Оплата за общие консультационные услуги</t>
  </si>
  <si>
    <t>Создание Приложения, вебсайта, Онлайн модуля для обучения</t>
  </si>
  <si>
    <t>Участники маркетингового исследования</t>
  </si>
  <si>
    <t>Оплата участия в маркетинговом исследовании</t>
  </si>
  <si>
    <t>Информационное  обучение в промоционных целях</t>
  </si>
  <si>
    <t>Промоционные мероприятия</t>
  </si>
  <si>
    <t>Конференция</t>
  </si>
  <si>
    <t>Симпозиум</t>
  </si>
  <si>
    <t>Клинический мастер-класс</t>
  </si>
  <si>
    <t>Симуляционный мастер-класс</t>
  </si>
  <si>
    <t>Вебинар</t>
  </si>
  <si>
    <t>Клинический семинар/школа для врачей</t>
  </si>
  <si>
    <t>Форум специалистов</t>
  </si>
  <si>
    <t>Другое промоционное мероприятие</t>
  </si>
  <si>
    <t>Деловые расходы</t>
  </si>
  <si>
    <t>Питание на мероприятиях</t>
  </si>
  <si>
    <t>Отдельно питание на мероприятии</t>
  </si>
  <si>
    <t>Аренда, иные услуги</t>
  </si>
  <si>
    <t>Отдельно аренда помещения для мероприятия</t>
  </si>
  <si>
    <t>Проезд, проживание</t>
  </si>
  <si>
    <t>Отдельно проезд и проживание врача</t>
  </si>
  <si>
    <t>Взносы (пожертвования)</t>
  </si>
  <si>
    <t>Поддержка некоммерческой организации</t>
  </si>
  <si>
    <t>Донация в НКО</t>
  </si>
  <si>
    <t>Донация в ПО</t>
  </si>
  <si>
    <t>Донация в государственное ЛПУ</t>
  </si>
  <si>
    <t>Поддержка коммерческой организации</t>
  </si>
  <si>
    <t>Донация в коммерческое (негосударственное) ЛПУ</t>
  </si>
  <si>
    <t>Донация дистрибутору</t>
  </si>
  <si>
    <t>Донация в иную коммерческую организацию</t>
  </si>
  <si>
    <t>Образовательные материалы</t>
  </si>
  <si>
    <t>Медицинские книги и пр.научные материалы для ЛПУ</t>
  </si>
  <si>
    <t>Комбинированная промоционная и непромоционная активность</t>
  </si>
  <si>
    <t>Иные промоционные активности</t>
  </si>
  <si>
    <t>Реклама</t>
  </si>
  <si>
    <t>Подготовка и печать репринтов</t>
  </si>
  <si>
    <t>Подготовка и печать промоматериалов</t>
  </si>
  <si>
    <t>Проекты в ассоциации с другими производителями</t>
  </si>
  <si>
    <t>Исследования</t>
  </si>
  <si>
    <t>Инициируемое и спонсируемое компанией исследование</t>
  </si>
  <si>
    <t>Маркетинговое исследование</t>
  </si>
  <si>
    <t>Фармакоэкономическое исследование</t>
  </si>
  <si>
    <t>Информационное обучение в непромоционных целях</t>
  </si>
  <si>
    <t>Аккредитованное обучение медицинских работников</t>
  </si>
  <si>
    <t>Прямая поддержка участия в мероприятии, организуемом государством</t>
  </si>
  <si>
    <t>Прямая поддержка участия в мероприятии, организуемом профессиональным сообществом</t>
  </si>
  <si>
    <t>Неаккредитованное обучение медицинских работников</t>
  </si>
  <si>
    <t>Прямая поддержка участия в НЕпромоционном мероприятии/обучении, организуемом Бакстер и иными организациями</t>
  </si>
  <si>
    <t>Иное непромоционное обучение медработников</t>
  </si>
  <si>
    <t>Прямая поддержка участия в ином НЕпромоционном мероприятии/обучении</t>
  </si>
  <si>
    <t>Клиническое исследование</t>
  </si>
  <si>
    <t>Публикации</t>
  </si>
  <si>
    <t>Встречи в рамках исследования</t>
  </si>
  <si>
    <t>Встреча в рамках исследования</t>
  </si>
  <si>
    <t>Исследование, инициируемое исследователем</t>
  </si>
  <si>
    <t>Исследование инициируемое исследователем</t>
  </si>
  <si>
    <t>5003 791602</t>
  </si>
  <si>
    <t>4008 535605</t>
  </si>
  <si>
    <t>3914 032042</t>
  </si>
  <si>
    <t>4004 976898</t>
  </si>
  <si>
    <t>0800 122004</t>
  </si>
  <si>
    <t>4508 022756</t>
  </si>
  <si>
    <t>4013 807056</t>
  </si>
  <si>
    <t>4602 160949</t>
  </si>
  <si>
    <t>2804 579191</t>
  </si>
  <si>
    <t>4013 957518</t>
  </si>
  <si>
    <t>7504 203256</t>
  </si>
  <si>
    <t>4904 736679</t>
  </si>
  <si>
    <t>9205 917926</t>
  </si>
  <si>
    <t>7912 646465</t>
  </si>
  <si>
    <t>4003 452170</t>
  </si>
  <si>
    <t>2204 037531</t>
  </si>
  <si>
    <t>0411 197184</t>
  </si>
  <si>
    <t>1407 835231</t>
  </si>
  <si>
    <t>6604 019023</t>
  </si>
  <si>
    <t>0404 546109</t>
  </si>
  <si>
    <t>4511 135610</t>
  </si>
  <si>
    <t>0706 937595</t>
  </si>
  <si>
    <t>1111 862633</t>
  </si>
  <si>
    <t>6004 521088</t>
  </si>
  <si>
    <t>6506 990656</t>
  </si>
  <si>
    <t>4502 958300</t>
  </si>
  <si>
    <t>6709 975712</t>
  </si>
  <si>
    <t>5802 509492</t>
  </si>
  <si>
    <t>4602 878310</t>
  </si>
  <si>
    <t>1815 150119</t>
  </si>
  <si>
    <t>4606 674799</t>
  </si>
  <si>
    <t>4501 002782</t>
  </si>
  <si>
    <t>2212 926334</t>
  </si>
  <si>
    <t>1104 310591</t>
  </si>
  <si>
    <t>4001 861218</t>
  </si>
  <si>
    <t>5807 895586</t>
  </si>
  <si>
    <t>4508 292464</t>
  </si>
  <si>
    <t>4014 088301</t>
  </si>
  <si>
    <t>5003 911727</t>
  </si>
  <si>
    <t>4013 851518</t>
  </si>
  <si>
    <t>4008 513736</t>
  </si>
  <si>
    <t>4701 317646</t>
  </si>
  <si>
    <t>4014 216170</t>
  </si>
  <si>
    <t>4607 481566</t>
  </si>
  <si>
    <t>4510 394265</t>
  </si>
  <si>
    <t>4000 669259</t>
  </si>
  <si>
    <t>0810 974056</t>
  </si>
  <si>
    <t>3200 541781</t>
  </si>
  <si>
    <t>1116 141863</t>
  </si>
  <si>
    <t>5001 834930</t>
  </si>
  <si>
    <t>0411 254093</t>
  </si>
  <si>
    <t>4501 131615</t>
  </si>
  <si>
    <t>2006 770141</t>
  </si>
  <si>
    <t>0802 606738</t>
  </si>
  <si>
    <t>3606 526903</t>
  </si>
  <si>
    <t>4514 698437</t>
  </si>
  <si>
    <t>4509 747595</t>
  </si>
  <si>
    <t>1899 091335</t>
  </si>
  <si>
    <t>4506 403111</t>
  </si>
  <si>
    <t>5005 880957</t>
  </si>
  <si>
    <t>3602 316261</t>
  </si>
  <si>
    <t>0514 201617</t>
  </si>
  <si>
    <t>7901 105314</t>
  </si>
  <si>
    <t>4512 689278</t>
  </si>
  <si>
    <t>6303 423266</t>
  </si>
  <si>
    <t>9216 022051</t>
  </si>
  <si>
    <t>2201 988088</t>
  </si>
  <si>
    <t>4505 098293</t>
  </si>
  <si>
    <t>4512 884185</t>
  </si>
  <si>
    <t>4601 912071</t>
  </si>
  <si>
    <t>4601 599792</t>
  </si>
  <si>
    <t>4012 663042</t>
  </si>
  <si>
    <t>4005 959558</t>
  </si>
  <si>
    <t>4509 940739</t>
  </si>
  <si>
    <t>4510 629383</t>
  </si>
  <si>
    <t>4013 820935</t>
  </si>
  <si>
    <t>9201 215292</t>
  </si>
  <si>
    <t>5704 234109</t>
  </si>
  <si>
    <t>8015 134627</t>
  </si>
  <si>
    <t>4015 377369</t>
  </si>
  <si>
    <t>4007 252943</t>
  </si>
  <si>
    <t>6505 349680</t>
  </si>
  <si>
    <t>4003 086324</t>
  </si>
  <si>
    <t>0510 838059</t>
  </si>
  <si>
    <t>4511 062965</t>
  </si>
  <si>
    <t>4608 651015</t>
  </si>
  <si>
    <t>8007 353465</t>
  </si>
  <si>
    <t>4005 170607</t>
  </si>
  <si>
    <t>7009 123622</t>
  </si>
  <si>
    <t>4003 865249</t>
  </si>
  <si>
    <t>0406 245090</t>
  </si>
  <si>
    <t>4504 482155</t>
  </si>
  <si>
    <t>5897 000610</t>
  </si>
  <si>
    <t>4103 521306</t>
  </si>
  <si>
    <t>4507 706739</t>
  </si>
  <si>
    <t>0104 193837</t>
  </si>
  <si>
    <t>4501 458041</t>
  </si>
  <si>
    <t>4511 632690</t>
  </si>
  <si>
    <t>5703 416672</t>
  </si>
  <si>
    <t>4601 392139</t>
  </si>
  <si>
    <t>4005 276800</t>
  </si>
  <si>
    <t>4606 647165</t>
  </si>
  <si>
    <t>8002 194372</t>
  </si>
  <si>
    <t>2011 407275</t>
  </si>
  <si>
    <t>4510 837769</t>
  </si>
  <si>
    <t>4008 552026</t>
  </si>
  <si>
    <t>6301 599460</t>
  </si>
  <si>
    <t>4505 424791</t>
  </si>
  <si>
    <t>4598 628566</t>
  </si>
  <si>
    <t>8605 854870</t>
  </si>
  <si>
    <t>4005 279312</t>
  </si>
  <si>
    <t>7808 702129</t>
  </si>
  <si>
    <t>4502 730308</t>
  </si>
  <si>
    <t>0309 217790</t>
  </si>
  <si>
    <t>2202 774569</t>
  </si>
  <si>
    <t>4204 116890</t>
  </si>
  <si>
    <t>6503 001471</t>
  </si>
  <si>
    <t>6503 001472</t>
  </si>
  <si>
    <t>1800 290866</t>
  </si>
  <si>
    <t>2804 419980</t>
  </si>
  <si>
    <t>2099 136834</t>
  </si>
  <si>
    <t>5001 671284</t>
  </si>
  <si>
    <t>0804 274322</t>
  </si>
  <si>
    <t>4507 884309</t>
  </si>
  <si>
    <t>0802 906421</t>
  </si>
  <si>
    <t>7802 630266</t>
  </si>
  <si>
    <t>4503 167082</t>
  </si>
  <si>
    <t>0503 406654</t>
  </si>
  <si>
    <t>0308 881109</t>
  </si>
  <si>
    <t>0804 453588</t>
  </si>
  <si>
    <t>4008 651885</t>
  </si>
  <si>
    <t>6002 195167</t>
  </si>
  <si>
    <t>4509 124909</t>
  </si>
  <si>
    <t>6502 791549</t>
  </si>
  <si>
    <t>4115 687109</t>
  </si>
  <si>
    <t>0501 586836</t>
  </si>
  <si>
    <t>4904 688609</t>
  </si>
  <si>
    <t>4005 585392</t>
  </si>
  <si>
    <t>3613 741603</t>
  </si>
  <si>
    <t>0500 169650</t>
  </si>
  <si>
    <t>0801 329824</t>
  </si>
  <si>
    <t>0104 434361</t>
  </si>
  <si>
    <t>4607 493840</t>
  </si>
  <si>
    <t>4611 704857</t>
  </si>
  <si>
    <t>9804 937455</t>
  </si>
  <si>
    <t>3302 907307</t>
  </si>
  <si>
    <t>0310 718186</t>
  </si>
  <si>
    <t>2003 176070</t>
  </si>
  <si>
    <t>4009 929417</t>
  </si>
  <si>
    <t>4612 894817</t>
  </si>
  <si>
    <t>5201 475743</t>
  </si>
  <si>
    <t>4509 860487</t>
  </si>
  <si>
    <t>4602 342146</t>
  </si>
  <si>
    <t>4606 916454</t>
  </si>
  <si>
    <t>4509 699860</t>
  </si>
  <si>
    <t>9714 124653</t>
  </si>
  <si>
    <t>4014 052154</t>
  </si>
  <si>
    <t>4611 047611</t>
  </si>
  <si>
    <t>4512 896519</t>
  </si>
  <si>
    <t>4508 046014</t>
  </si>
  <si>
    <t>6505 233613</t>
  </si>
  <si>
    <t>4504 670075</t>
  </si>
  <si>
    <t>4010 130198</t>
  </si>
  <si>
    <t>4510 931439</t>
  </si>
  <si>
    <t>4505 556892</t>
  </si>
  <si>
    <t>4612 819038</t>
  </si>
  <si>
    <t>3212 165860</t>
  </si>
  <si>
    <t>4011 408405</t>
  </si>
  <si>
    <t>1807 135000</t>
  </si>
  <si>
    <t>1902 607113</t>
  </si>
  <si>
    <t>5002 904730</t>
  </si>
  <si>
    <t>4611 056675</t>
  </si>
  <si>
    <t>5701 714818</t>
  </si>
  <si>
    <t>4512 714997</t>
  </si>
  <si>
    <t>4601 013357</t>
  </si>
  <si>
    <t>6012 218357</t>
  </si>
  <si>
    <t>4510 986672</t>
  </si>
  <si>
    <t>4003 229886</t>
  </si>
  <si>
    <t>4502 989242</t>
  </si>
  <si>
    <t>4002 876517</t>
  </si>
  <si>
    <t>4504 658241</t>
  </si>
  <si>
    <t>4511 632469</t>
  </si>
  <si>
    <t>4509 022388</t>
  </si>
  <si>
    <t>4510 996495</t>
  </si>
  <si>
    <t>5711 769572</t>
  </si>
  <si>
    <t>4015 331533</t>
  </si>
  <si>
    <t>4008 524661</t>
  </si>
  <si>
    <t>9207 522026</t>
  </si>
  <si>
    <t>4013 860443</t>
  </si>
  <si>
    <t>2602 094396</t>
  </si>
  <si>
    <t>2504 421554</t>
  </si>
  <si>
    <t>8005 744949</t>
  </si>
  <si>
    <t>4510 347819</t>
  </si>
  <si>
    <t>4005 927032</t>
  </si>
  <si>
    <t>5307 600113</t>
  </si>
  <si>
    <t>4511 502359</t>
  </si>
  <si>
    <t>0300 475416</t>
  </si>
  <si>
    <t>2805 701460</t>
  </si>
  <si>
    <t>4506 767887</t>
  </si>
  <si>
    <t>6104 245606</t>
  </si>
  <si>
    <t>0409 886229</t>
  </si>
  <si>
    <t>4003 372896</t>
  </si>
  <si>
    <t>4604 333126</t>
  </si>
  <si>
    <t>4516 570578</t>
  </si>
  <si>
    <t>3606 511711</t>
  </si>
  <si>
    <t>4000 740074</t>
  </si>
  <si>
    <t>4005 942013</t>
  </si>
  <si>
    <t>5003 029674</t>
  </si>
  <si>
    <t>4511 624220</t>
  </si>
  <si>
    <t>1003 731567</t>
  </si>
  <si>
    <t>7802 805019</t>
  </si>
  <si>
    <t>4606 429112</t>
  </si>
  <si>
    <t>4900 100888</t>
  </si>
  <si>
    <t>4511 393424</t>
  </si>
  <si>
    <t>1202 496308</t>
  </si>
  <si>
    <t>9413 371808</t>
  </si>
  <si>
    <t>4601 352950</t>
  </si>
  <si>
    <t>8909 113669</t>
  </si>
  <si>
    <t>4501 007770</t>
  </si>
  <si>
    <t>3414 138618</t>
  </si>
  <si>
    <t>6503 968206</t>
  </si>
  <si>
    <t>7502 609454</t>
  </si>
  <si>
    <t>9204 351405</t>
  </si>
  <si>
    <t>4599 880776</t>
  </si>
  <si>
    <t>6306 959766</t>
  </si>
  <si>
    <t>0714 978344</t>
  </si>
  <si>
    <t>4017 763831</t>
  </si>
  <si>
    <t>4607 320136</t>
  </si>
  <si>
    <t>4001 957664</t>
  </si>
  <si>
    <t>4002 047283</t>
  </si>
  <si>
    <t>3400 069663</t>
  </si>
  <si>
    <t>0313 341787</t>
  </si>
  <si>
    <t>4003 953976</t>
  </si>
  <si>
    <t>6003 064741</t>
  </si>
  <si>
    <t>7104 291715</t>
  </si>
  <si>
    <t>0802 746396</t>
  </si>
  <si>
    <t>4513 210039</t>
  </si>
  <si>
    <t>0704 364883</t>
  </si>
  <si>
    <t>2505 517749</t>
  </si>
  <si>
    <t>6508 368879</t>
  </si>
  <si>
    <t>3611 586469</t>
  </si>
  <si>
    <t>4103 010504</t>
  </si>
  <si>
    <t>4510 896610</t>
  </si>
  <si>
    <t>0100 299083</t>
  </si>
  <si>
    <t>4608 759317</t>
  </si>
  <si>
    <t>8604 812963</t>
  </si>
  <si>
    <t>0399 168554</t>
  </si>
  <si>
    <t>0110 594399</t>
  </si>
  <si>
    <t>8313 206997</t>
  </si>
  <si>
    <t>9201 471344</t>
  </si>
  <si>
    <t>3208 549799</t>
  </si>
  <si>
    <t>4502 003408</t>
  </si>
  <si>
    <t>5701 779476</t>
  </si>
  <si>
    <t>4514 779466</t>
  </si>
  <si>
    <t>4402 152071</t>
  </si>
  <si>
    <t>9203 104085</t>
  </si>
  <si>
    <t>4005 764058</t>
  </si>
  <si>
    <t>4009 824059</t>
  </si>
  <si>
    <t>9606 995602</t>
  </si>
  <si>
    <t>8602 341092</t>
  </si>
  <si>
    <t>4509 216406</t>
  </si>
  <si>
    <t>3601 910629</t>
  </si>
  <si>
    <t>4004 176681</t>
  </si>
  <si>
    <t>4600 730336</t>
  </si>
  <si>
    <t>6307 061189</t>
  </si>
  <si>
    <t>3614 973351</t>
  </si>
  <si>
    <t>5711 858974</t>
  </si>
  <si>
    <t>6803 984157</t>
  </si>
  <si>
    <t>4616 201715</t>
  </si>
  <si>
    <t>6107 461609</t>
  </si>
  <si>
    <t>0812 099396</t>
  </si>
  <si>
    <t>0812 113309</t>
  </si>
  <si>
    <t xml:space="preserve">                                          Rating
Activities </t>
  </si>
  <si>
    <t>TOP</t>
  </si>
  <si>
    <t>9-15</t>
  </si>
  <si>
    <t>16-20</t>
  </si>
  <si>
    <t>21-24</t>
  </si>
  <si>
    <t>1-8</t>
  </si>
  <si>
    <t>Лекция на конференции</t>
  </si>
  <si>
    <t>Лекция на круглом столе</t>
  </si>
  <si>
    <t>Прочие мероприятия (лекция в ЛПУ/офисе Бакстер)</t>
  </si>
  <si>
    <t>Модерирование на круглом столе</t>
  </si>
  <si>
    <t>Лекция + Модерирование на круглом столе</t>
  </si>
  <si>
    <t>Выступление на постерной сессии</t>
  </si>
  <si>
    <t>Маркетиноговое исследование (участие в опросе)</t>
  </si>
  <si>
    <t>Обработка карт пациентов</t>
  </si>
  <si>
    <t>Аудитория</t>
  </si>
  <si>
    <t>Услуги</t>
  </si>
  <si>
    <t>врачи анестезиологи</t>
  </si>
  <si>
    <t>врачи анестезиологи-реаниматологи</t>
  </si>
  <si>
    <t>врачи общей практики</t>
  </si>
  <si>
    <t>врачи нефрологи</t>
  </si>
  <si>
    <t>Services</t>
  </si>
  <si>
    <t>Audience</t>
  </si>
  <si>
    <t>Lecture at the conference</t>
  </si>
  <si>
    <t>Lecture on the round table</t>
  </si>
  <si>
    <t>Other activities (lecture at the health facility / office Baxter)</t>
  </si>
  <si>
    <t>Moderation on the round table</t>
  </si>
  <si>
    <t>Lecture + Moderation on the round table</t>
  </si>
  <si>
    <t>Participation in the Council of Experts</t>
  </si>
  <si>
    <t>Speech at the poster session</t>
  </si>
  <si>
    <t>Analysis of the clinical case</t>
  </si>
  <si>
    <t>Creating a Product Monograph</t>
  </si>
  <si>
    <t>Create an Application, a website, an Online module for training</t>
  </si>
  <si>
    <t>Marketing research (participation in the survey)</t>
  </si>
  <si>
    <t>Processing Patient Cards</t>
  </si>
  <si>
    <t>anesthesiologists</t>
  </si>
  <si>
    <t>anaesthesiologists-resuscitators</t>
  </si>
  <si>
    <t>general practitioners</t>
  </si>
  <si>
    <t>nephrologists</t>
  </si>
  <si>
    <t>Others</t>
  </si>
  <si>
    <t>не применимо</t>
  </si>
  <si>
    <t>not applicable</t>
  </si>
  <si>
    <t>Конференция/Conference</t>
  </si>
  <si>
    <t>Результат услуг/Service result</t>
  </si>
  <si>
    <t>Услуга/Service</t>
  </si>
  <si>
    <t>Тема услуги/Service topic</t>
  </si>
  <si>
    <t>Место услуги/Venue</t>
  </si>
  <si>
    <t xml:space="preserve">ЗАВ. ОТД. АНЕСТЕЗИОЛОГИИ И РЕАНИМАЦИИ С ОПЕРБЛОКОМ </t>
  </si>
  <si>
    <t>CHIEF OF ANESTHESIOLOGY AND INTENSIVE CARE UNIT WITH OPERATING UNIT</t>
  </si>
  <si>
    <t>МОСКВА, ДГКБ №13</t>
  </si>
  <si>
    <t>MOSCOW, CHILDREN’S CITY CLINICAL HOSPITAL №13</t>
  </si>
  <si>
    <t>8-916-236-66-27</t>
  </si>
  <si>
    <t>заведующий отделением диализа</t>
  </si>
  <si>
    <t xml:space="preserve">Head of dialysis Unit </t>
  </si>
  <si>
    <t xml:space="preserve">Московская городская больница №52 </t>
  </si>
  <si>
    <t xml:space="preserve">Moscow Clinical Hospital №52 </t>
  </si>
  <si>
    <t>4513318499</t>
  </si>
  <si>
    <t>Отделом УФМС России по г. Москве по району Чертаново Северное</t>
  </si>
  <si>
    <t>Department of the Federal Migration Service of Russia for the city of Moscow in the Chertanovo Northern District</t>
  </si>
  <si>
    <t xml:space="preserve">8 (499) 1963122   </t>
  </si>
  <si>
    <t>нефролог</t>
  </si>
  <si>
    <t>nephrologist</t>
  </si>
  <si>
    <t>МОНИКИ им. М.Ф.Владимирского, Москва</t>
  </si>
  <si>
    <t>MOSCOW, MONIKI name Vladimirskogo</t>
  </si>
  <si>
    <t>8926 528 96 52</t>
  </si>
  <si>
    <t>научный сотрудник</t>
  </si>
  <si>
    <t>researcher</t>
  </si>
  <si>
    <t>МОСКВА, МОСКОВСКИЙ НАУЧНО- ИССЛЕДОВАТЕЛЬСКИЙ  ОНКОЛОГИЧЕСКИЙ ИНСТИТУТ ИМ. ГЕРЦЕНА</t>
  </si>
  <si>
    <t>MOSCOW CANCER RESEARCH THE INSTITUTE NAMED AFTER HERZEN,MOSCOW</t>
  </si>
  <si>
    <t>8-965-282-15-17</t>
  </si>
  <si>
    <t>PAO Sberbank Russia</t>
  </si>
  <si>
    <t xml:space="preserve">заведующий отделением  анестезиологии-реаниматологии </t>
  </si>
  <si>
    <t xml:space="preserve">Chief of the ICU Department </t>
  </si>
  <si>
    <t>Федеральный медицинский исследовательский центр. им. В.А. Алмазова», Санкт-Петербург</t>
  </si>
  <si>
    <t>FGBU «Almazov”s Federal Medical Scientific Center», St. Petersburg</t>
  </si>
  <si>
    <t>8-921-753-91-10</t>
  </si>
  <si>
    <t>Severo-zapadnyi bank PAO Sberbank Russia g. Sankt-Peterburg</t>
  </si>
  <si>
    <t>8-916-532-49-00</t>
  </si>
  <si>
    <t>ГБУЗ Клинический госпиталь №40 г.Санкт-Петербург</t>
  </si>
  <si>
    <t>GBUZ City Hospital №40 St.Petersburg</t>
  </si>
  <si>
    <t>Санкт-Петербург, улица Итальянская, дом 16/19, кв. 25</t>
  </si>
  <si>
    <t>St. Petersburg, Italianskaya street, house 16/19, apt. 25</t>
  </si>
  <si>
    <t>8-911-944-25-95</t>
  </si>
  <si>
    <t xml:space="preserve">врач-нефролог отделения диализа </t>
  </si>
  <si>
    <t xml:space="preserve">NEPHROLOGIST OF THE DIALYSIS DEPARTMENT </t>
  </si>
  <si>
    <t>СПб ГБУЗ «Городская Мариинская больница</t>
  </si>
  <si>
    <t>GBUZ " CITY MARIINSKY HOSPITAL, St. Petersburg</t>
  </si>
  <si>
    <t>8(921)793-73-72</t>
  </si>
  <si>
    <t xml:space="preserve">заведующий отделением реанимации и интенсивной терапии  </t>
  </si>
  <si>
    <t xml:space="preserve">HEAD OF THE DEPARTMENT OF RESUSCITATION AND INTENSIVE THERAPY  </t>
  </si>
  <si>
    <t>Научно исследовательский институт имени Горбачевой в составе Первого Санкт Петербургского Государственного Медицинского иститута имени Павлова</t>
  </si>
  <si>
    <t>THE RESEARCH INSTITUTE NAMED AFTER RAISA GORBACHEVA IN THE FIRST ST. PETERSBURG STATE MEDICAL UNIVERSITY NAMED PAVLOV</t>
  </si>
  <si>
    <t xml:space="preserve"> Яхтенная ул., дом 9, корп.1, кв.133, Санкт Петербург,  Россия</t>
  </si>
  <si>
    <t>Yakhtennaya Str, 9/1, flat 133, St.Petersburg, Russia</t>
  </si>
  <si>
    <t>8-921-979-29-13</t>
  </si>
  <si>
    <t>РУКОВОДИТЕЛЬ ЦЕНТРА АНЕСТЕЗИОЛОГИИ И РЕАНИМАЦИИ</t>
  </si>
  <si>
    <t>CHIEF OF ANESTHESIOLOGY &amp; INTENSIVE CARE</t>
  </si>
  <si>
    <t>МОСКВА, НАЦИОНАЛЬНЫЙ МЕДИКО-ХИРУРГИЧЕСКИЙ ЦЕНТР ИМ. ПИРОГОВА</t>
  </si>
  <si>
    <t xml:space="preserve">MOSCOW, NATIONAL MEDICAL CENTER OF SURGERY N/A PIROGOVA </t>
  </si>
  <si>
    <t xml:space="preserve">7 (499) 464-44-54 </t>
  </si>
  <si>
    <t>Заведующий отделением  анестезиологии-реаниматологии</t>
  </si>
  <si>
    <t>Chief of the ICU Department</t>
  </si>
  <si>
    <t xml:space="preserve">ФГБУ Клиническй госпиталь УД Президента РФ </t>
  </si>
  <si>
    <t xml:space="preserve">FGBU Clinical Hospital </t>
  </si>
  <si>
    <t>8-926-191-63-30</t>
  </si>
  <si>
    <t>Зав. Отд. Анестезиологии</t>
  </si>
  <si>
    <t>Chief of Department of Anesthesia</t>
  </si>
  <si>
    <t>Воронеж, Обл. Клиническая Больница №1</t>
  </si>
  <si>
    <t>Voronezh, Regional Clinical Hospital #1</t>
  </si>
  <si>
    <t>г. Воронеж, пер. Спортивный, д. 3, кв. 7</t>
  </si>
  <si>
    <t>Voronezh, 3 per. Sportivny, apt. 7</t>
  </si>
  <si>
    <t>8 910 349 04 71</t>
  </si>
  <si>
    <t>врач нефролог</t>
  </si>
  <si>
    <t>ГБУЗ Адыгейская республиканская клиническая больница</t>
  </si>
  <si>
    <t>GBUZ Adyghe Republican Clinical Hospital</t>
  </si>
  <si>
    <t>010503011894</t>
  </si>
  <si>
    <t>8 928 215 24 64</t>
  </si>
  <si>
    <t>Заведующий отделением диализа</t>
  </si>
  <si>
    <t>Head of dialysis  department</t>
  </si>
  <si>
    <t xml:space="preserve">Российская Детская Клиническая больница, Москва </t>
  </si>
  <si>
    <t>Russian Federation Children Clinical Hospital,  Moscow</t>
  </si>
  <si>
    <t>4510941356</t>
  </si>
  <si>
    <t>Отделением по району Строгино ОУФМС по г. Москве в СЗАО</t>
  </si>
  <si>
    <t>Department for the Strogino district of the OUMSM in Moscow in SZAO</t>
  </si>
  <si>
    <t>Заместитель генерального директора по лечебным и научно-образовательным вопросам</t>
  </si>
  <si>
    <t>Deputy General Director for medical, scientific and educational issues</t>
  </si>
  <si>
    <t>«НАЦИОНАЛЬНЫЙ МЕДИКО-ХИРУРГИЧЕСКИЙ ЦЕНТР ИМ. Н.И. ПИРОГОВА»  г. Москва</t>
  </si>
  <si>
    <t>RUSSIAN NATIONAL MEDICAL CENTER ON SURGERY NAMED AFTER PIROGOV N. I. Moscow</t>
  </si>
  <si>
    <t>Otdeleniem po raionu Novogireevo OUFMS Russia po gorodu Moskve v VAO</t>
  </si>
  <si>
    <t xml:space="preserve">Зав. отделением диализа </t>
  </si>
  <si>
    <t xml:space="preserve">Head. Department of dialysis </t>
  </si>
  <si>
    <t>СПб ГБУЗ «Городская Мариинская больница»</t>
  </si>
  <si>
    <t>St. Petersburg City Mariinsky hospital</t>
  </si>
  <si>
    <t>8 (812) 663-35-70_</t>
  </si>
  <si>
    <t>врач  анестезиолог-реаниматолог</t>
  </si>
  <si>
    <t>anesthesiologist-resuscitator</t>
  </si>
  <si>
    <t xml:space="preserve">Санкт Петербург, Федеральное государственное бюджетное учреждение "Научно-исследовательский детский ортопедический институт имени Г.И. Турнера" </t>
  </si>
  <si>
    <t xml:space="preserve">ST. PETERSBURG Federal state budgetary institution "research children's orthopedic Institute named after G. I. Turner" </t>
  </si>
  <si>
    <t>Санкт Петербург, 2- Муринский пр.д.34, к.1, кв.118</t>
  </si>
  <si>
    <t xml:space="preserve">St. Petersburg, 2 - Murinsky Ave 34 D., K. 1, 118 square </t>
  </si>
  <si>
    <t>8-921-970-70-42</t>
  </si>
  <si>
    <t xml:space="preserve">ВРАЧ ОТД. АНЕСТЕЗИОЛОГИИ И РЕАНИМАЦИИ </t>
  </si>
  <si>
    <t>DOCTOR OF ANESTHESIOLOGY AND INTENSIVE CARE UNIT</t>
  </si>
  <si>
    <t>Sberbank Russia</t>
  </si>
  <si>
    <t>Владивостокская клиническая больница №2</t>
  </si>
  <si>
    <t>Vladivostok Clinical Hospital №2</t>
  </si>
  <si>
    <t>заведующая отделением анестезиологии и реанимации</t>
  </si>
  <si>
    <t>head of the Department of anesthesiology and intensive care</t>
  </si>
  <si>
    <t>ST. PETERSBURG Federal state budgetary institution "research children's orthopedic Institute named after G. I. Turner"</t>
  </si>
  <si>
    <t>Санкт Петербург, Дунайский проспект дом.  58 к.1 кв. 14</t>
  </si>
  <si>
    <t>St. Petersburg, the Danube Avenue house. 58 building 1 apartment 14</t>
  </si>
  <si>
    <t>8-921-323-27-07</t>
  </si>
  <si>
    <t>Постоянный член рабочей группы Министерства здравоохранения Тульской обл по направлению жителей Тульской обл на проведение ЗПТ программным гемодиализом и перитонеальным диализом</t>
  </si>
  <si>
    <t>Permanent member of the working group of the Ministry of health of the Tula region in the direction of the residents of the Tula region on the conduct of RRT hemodialysis and peritoneal dialysis</t>
  </si>
  <si>
    <t>ГУЗ "ТГКБСМП им. Ваныкина"</t>
  </si>
  <si>
    <t>GUZ "the Tula city clinical emergency hospital named Vanikina</t>
  </si>
  <si>
    <t>Тульская область, гор. Тула, пос. Ново-Октябрьский, дом 4</t>
  </si>
  <si>
    <t xml:space="preserve">Tula oblast, mountains. Tula, the settlement of Novo-Oktyabr'skiy, 4 </t>
  </si>
  <si>
    <t>7 910 946 11 03</t>
  </si>
  <si>
    <t>Ленинградская область, Гатчинский район, пос.Лукаши, ул.Овражная, д.12</t>
  </si>
  <si>
    <t xml:space="preserve">Leningrad region, Gatchina district, and the settlement of Lucasi, street Ravine, D. 12 </t>
  </si>
  <si>
    <t>8-911-281-01-61</t>
  </si>
  <si>
    <t>главная медицинская сестра</t>
  </si>
  <si>
    <t>Chief Nurse</t>
  </si>
  <si>
    <t>"Городская Мариинская больница", Санкт-Петербург</t>
  </si>
  <si>
    <t>"City Mariinsky Hospital", St. Petersburg</t>
  </si>
  <si>
    <t>4015395355</t>
  </si>
  <si>
    <t>ТП №41 отдела УФМС России по Санкт-Петербургу и Ленинградской обл. в Красносельском р-не г. Санкт-Петербурга</t>
  </si>
  <si>
    <t>TP No. 41 of the Department of the Federal Migration Service of Russia for St. Petersburg and the Leningrad Region. in the Krasnoselsky district of St. Petersburg</t>
  </si>
  <si>
    <t>8-921-918-01-93</t>
  </si>
  <si>
    <t>заведующий отделением реанимации</t>
  </si>
  <si>
    <t>head of resuscitation department</t>
  </si>
  <si>
    <t>ФГБУ Институт хирургии им. Вишневского</t>
  </si>
  <si>
    <t>FGBU Surgery Institute. Vishnevsky</t>
  </si>
  <si>
    <t>8-925 506-80-81</t>
  </si>
  <si>
    <t>ЗАВЕДУЮЩИЙ ОТДЕЛЕНИЕМ АНЕСТЕЗИОЛОГИИ И РЕАНИМАТОЛОГИИ САНКТ ПЕТЕРБУРГСКОГО КЛИНИЧЕСКОГО КОМПЛЕКСА ИМЕНИ ПИРОГОВА</t>
  </si>
  <si>
    <t>HEAD OF ICU DEPARTMENT IN NATIONAL MEDICAL SURGICAL CENTER  IM. PIROGOVA</t>
  </si>
  <si>
    <t>Санкт Петербургский Клинический комплекс имени Пирогова</t>
  </si>
  <si>
    <t>St. Petersburg Clinical complex named after Pirogov</t>
  </si>
  <si>
    <t>8-921-904-95-81</t>
  </si>
  <si>
    <t>профессор кафедры скорой неотложной и анестезиолого-реанимационной помощи</t>
  </si>
  <si>
    <t>Professor of the Department of Emergency Emergency and Anesthesia and Resuscitation Care</t>
  </si>
  <si>
    <t>Саратовский Государственный медицинский университет им.Разумовского В.И.</t>
  </si>
  <si>
    <t>Saratov State medical University name V. I. Razumovsky</t>
  </si>
  <si>
    <t>Г.Саратов, ул.Политехническая, 74/82-24</t>
  </si>
  <si>
    <t>Saratov,Politehnicheskaya str., 74/82-24</t>
  </si>
  <si>
    <t>8(921)904-95-81</t>
  </si>
  <si>
    <t>CHIEF OF INTENSIVE CARE</t>
  </si>
  <si>
    <t>Екатеринбург Областная больница №1</t>
  </si>
  <si>
    <t>Ekaterinburg  regional clinical HOSPITAL №1</t>
  </si>
  <si>
    <t>620014; Екатеринбург; ул.Радищева, д.33, кв.460</t>
  </si>
  <si>
    <t>620014; Ekaterinburg; ul.Radishcheva, d.33, ap. 460</t>
  </si>
  <si>
    <t xml:space="preserve">8 922 202 22 12 </t>
  </si>
  <si>
    <t>Анестезиолог</t>
  </si>
  <si>
    <t>Anaesthesiologist</t>
  </si>
  <si>
    <t>Екатеринбург, ул. Волгоградская 185 ГБУЗ «Свердловская областная клиническая больница №1»</t>
  </si>
  <si>
    <t xml:space="preserve">EKATERINBURG, VOLGOGRADSKAYA STR., 185. «SVERDLOVSK REGIONAL HOSPITAL 1» </t>
  </si>
  <si>
    <t>г. Екатеринбург, ул. Радищева д.33. кв. 563</t>
  </si>
  <si>
    <t>Ekaterinburg, 33 Radisheva str. apt 563</t>
  </si>
  <si>
    <t>заведующий центра анестезиологии-реаниматологии</t>
  </si>
  <si>
    <t>Chief of the ICU Center</t>
  </si>
  <si>
    <t xml:space="preserve"> Институт патологии кровообращения им. академика Е.Н. Мешалкина Новосибирск</t>
  </si>
  <si>
    <t>Novosibirsk Scientific Center Meshalkina</t>
  </si>
  <si>
    <t xml:space="preserve">г.Новосибирск, ул.Академическая, д.2, кв.5 </t>
  </si>
  <si>
    <t>Novosibirsk, Akademicheskaya St., 2, sq. 5</t>
  </si>
  <si>
    <t>8-913-916-41-03</t>
  </si>
  <si>
    <t>30301810644000604405</t>
  </si>
  <si>
    <t>Заведующая отделением Диетологии</t>
  </si>
  <si>
    <t xml:space="preserve">Head of Dietology department </t>
  </si>
  <si>
    <t xml:space="preserve">г.Долгопрудный, ул. Первомайская, дом № 17А, кв.70 </t>
  </si>
  <si>
    <t xml:space="preserve"> Dolgoprudniy, Pervomayskaya str., 17A, flat 70</t>
  </si>
  <si>
    <t>8-903-110-91-25</t>
  </si>
  <si>
    <t xml:space="preserve">Заведующий кафедрой анестезиологии и реаниматологии </t>
  </si>
  <si>
    <t xml:space="preserve">Head of anesthesiology and reanimatology </t>
  </si>
  <si>
    <t xml:space="preserve">Санкт-Петербург Спбгму Им. Павлова </t>
  </si>
  <si>
    <t>St Petersburg Pavlov State Medical University</t>
  </si>
  <si>
    <t>Санкт Петербург, Шлиссельбургский проспект дом 47, корпус 1, квартира 101</t>
  </si>
  <si>
    <t>St. Petersburg, Shlisselburg prospect 47, building 1, apartment 101</t>
  </si>
  <si>
    <t>8(921)935-08-98</t>
  </si>
  <si>
    <t>Заведующий отделением реанимации</t>
  </si>
  <si>
    <t>Head of the intensive care unit</t>
  </si>
  <si>
    <t xml:space="preserve">МОСКВА, ФГБУ «Научный центр акушерства, гинекологи, перинатологии им.В.И.Кулакова»  </t>
  </si>
  <si>
    <t>MOSCOW, FSBI "SCIENTIFIC CENTER OF OBSTETRICS, GYNECOLOGY, PERINATOLOGY</t>
  </si>
  <si>
    <t>Московская обл., г.Дзержинский, ул.Лесная, дом 5. Кв. 220</t>
  </si>
  <si>
    <t>Moscow region, Dzerzhinsky, Lesnaya str, house 5, KV. 220/</t>
  </si>
  <si>
    <t>Head of Dialysis department</t>
  </si>
  <si>
    <t xml:space="preserve">ФГБУ Российская детская клиническая больница, Москва </t>
  </si>
  <si>
    <t>FGBU Russian  Childrens  Clinical Hospital, Moscow</t>
  </si>
  <si>
    <t>Москва, Ленинский проспект, дом 135, к.1, кв.627</t>
  </si>
  <si>
    <t xml:space="preserve">Moscow, Leninsky prospect, 135, building 1, ap.627 </t>
  </si>
  <si>
    <t>8-985-125-25-55</t>
  </si>
  <si>
    <t>Moskovskii bank Sberbanka Russia</t>
  </si>
  <si>
    <t>Russian Federation,  Saint-Petersburg, LLC "BBrown Avitum Russland Сlinik"</t>
  </si>
  <si>
    <t>Россия, Санкт-Петербург, ООО «Б.Браун Авитум Руссланд Клиникс»</t>
  </si>
  <si>
    <t xml:space="preserve">Санкт-Петербург , проспект Энтузиастов  дом 56 кв.133    </t>
  </si>
  <si>
    <t xml:space="preserve">St. Petersburg, Prospekt Entuziastov  56 -133 </t>
  </si>
  <si>
    <t xml:space="preserve">8-812-640-13-04 </t>
  </si>
  <si>
    <t>старший научный сотрудник хирургического отделения трансплантологии и диализа</t>
  </si>
  <si>
    <t>Senior Researcher of the Surgical Department of Transplantology and Dialysis</t>
  </si>
  <si>
    <t>Соколов Дмитрий Васильевич</t>
  </si>
  <si>
    <t>Sokolov Dmitry Vasilievich</t>
  </si>
  <si>
    <t xml:space="preserve">ВРАЧ АНЕСТЕЗИОЛОГ-РЕАНИМАТОЛОГ ОРИТ ДЛЯ ЭКСТРЕННОЙ ДЕТОКСИКАЦИИ </t>
  </si>
  <si>
    <t xml:space="preserve">ANESTHESIOLOGIST-INTENSIVE CARE UNIT FOR EMERGENCY DETOXIFICATION  </t>
  </si>
  <si>
    <t>НАУЧНО-КЛИНИЧЕСКИЙ ЦЕНТР АНЕСТЕЗИОЛОГИИ-РЕАНИМАТОЛОГИИ СПБГМУ ИМ. И.П. ПАВЛОВА</t>
  </si>
  <si>
    <t>SCIENTIFIC AND CLINICAL CENTER OF ANESTHESIOLOGY-INTENSIVE CARE OF ST. PETERSBURG STATE MEDICAL</t>
  </si>
  <si>
    <t>4008 691440</t>
  </si>
  <si>
    <t>ТР №60 отдела УФМС России по Санкт-Петербургу и Ленинградской обл. в Петроградском р-не гор. Санкт-Петербурга</t>
  </si>
  <si>
    <t>TR №60 dep of UFMS in St. Petersburg and Leningradskaya obl. In Petrogradsky area in St. Petersburg</t>
  </si>
  <si>
    <t>29.12.2008</t>
  </si>
  <si>
    <t>781435526721</t>
  </si>
  <si>
    <t>155 275593 86</t>
  </si>
  <si>
    <t>Санкт-Петербург ул. Савушкина дом 139, кв 94</t>
  </si>
  <si>
    <t>Saint Petersburg Savushkina St house 139, kV 94</t>
  </si>
  <si>
    <t>8(911)719-33-33</t>
  </si>
  <si>
    <t>40817810055033094187</t>
  </si>
  <si>
    <t xml:space="preserve">Severo-Zapadny Bank, St. Petersburg </t>
  </si>
  <si>
    <t>Заведующий отделением анестезиологии</t>
  </si>
  <si>
    <t>chife  of department anesteziolgogi</t>
  </si>
  <si>
    <t>САМАРА, САМАРСКИЙ ОБЛАСТНОЙ КЛИНИЧЕСКИЙ ОНКОЛОГИЧЕСКИЙ ДИСПАНСЕР</t>
  </si>
  <si>
    <t>SAMARA, SAMARA REGIONAL CLINICAL ONCOLOGY DISPENSARY</t>
  </si>
  <si>
    <t>Ленинским РОВД города Самары</t>
  </si>
  <si>
    <t>Leninsky district police department of Samara</t>
  </si>
  <si>
    <t>Самара , проспект Карла Маркса 8-17</t>
  </si>
  <si>
    <t>Samara, Karl Marx prospect,8-17</t>
  </si>
  <si>
    <t xml:space="preserve">заведующий отделением гемодиализа </t>
  </si>
  <si>
    <t xml:space="preserve">head of the Department of hemodialysis </t>
  </si>
  <si>
    <t>8 916 161 86 20</t>
  </si>
  <si>
    <t>40817810140290892744</t>
  </si>
  <si>
    <t xml:space="preserve">Заведующий отделением, врач-анестезиолог-реаниматолог </t>
  </si>
  <si>
    <t>Head of department, anesthesiologist-resuscitator</t>
  </si>
  <si>
    <t>НАЦИОНАЛЬНЫЙ МЕДИКО-ХИРУРГИЧЕСКИЙ ЦЕНТР ИМ. Н.И. ПИРОГОВА», МОСКВА</t>
  </si>
  <si>
    <t>RUSSIAN NATIONAL MEDICAL CENTER ON SURGERY NAMED AFTER PIROGOV N. I., MOSCOW</t>
  </si>
  <si>
    <t>8-916-616-60-38</t>
  </si>
  <si>
    <t>Руководитель Отделения Анестезиологии</t>
  </si>
  <si>
    <t xml:space="preserve">Head of department of anesthesiology </t>
  </si>
  <si>
    <t xml:space="preserve">МОСКВА, НИИ скорой помощи им. Н.В. Склифосовского </t>
  </si>
  <si>
    <t>MOSCOW, RESEARCH INSTITUTE FOR AMBULANCE THEM. N. V. SKLIFOSOVSKY</t>
  </si>
  <si>
    <t>г. Москва, Банный переулок, д.3, кв.2</t>
  </si>
  <si>
    <t>Moscow, Banny Pereulok 3, 2</t>
  </si>
  <si>
    <t>+7(903)5617202</t>
  </si>
  <si>
    <t>заведующий отделением анестезиологии и реанимации</t>
  </si>
  <si>
    <t>САНКТ-ПЕТЕРБУРГСКОЕ ГОСУДАРСТВЕННОЕ УЧРЕЖДЕНИЕ ЗДРАВООХРАНЕНИЯ "ГОРОДСКОЙ КЛИНИЧЕСКИЙ ОНКОЛОГИЧЕСКИЙ ДИСПАНСЕР"</t>
  </si>
  <si>
    <t>ST. PETERSBURG STATE HEALTHCARE INSTITUTION "CITY CLINICAL ONCOLOGY DISPENSARY"</t>
  </si>
  <si>
    <t>г. Санкт-Петербург, ул. Лени Голикова д.76, кв. 76</t>
  </si>
  <si>
    <t>St. Petersburg, 76 Leni Golikova street, 76</t>
  </si>
  <si>
    <t xml:space="preserve">Заведующий отделением  анестезиологии, реанимации и интенсивной терапии  </t>
  </si>
  <si>
    <t>Head of the Department of anesthesiology, resuscitation and intensive care</t>
  </si>
  <si>
    <t xml:space="preserve">Московская городская онкологическая больница №62 </t>
  </si>
  <si>
    <t>Moscow city oncology hospital №62</t>
  </si>
  <si>
    <t>поселок Истра, 21, кв.34, Московская область</t>
  </si>
  <si>
    <t>Istra village, 21, flat 34, Moscow region</t>
  </si>
  <si>
    <t>8-903-688-39-05</t>
  </si>
  <si>
    <t xml:space="preserve">30101810200000000593 </t>
  </si>
  <si>
    <t>ЗАВЕДУЮЩИЙ ОТДЕЛЕНИЕМ АНЕСТЕЗИОЛОГИИ И РЕАНИМАТОЛОГИИ ПЕРВОГО САНКТ ПЕТЕРБУРГСКОГО ГОСУДАРСТВЕННОГО МЕДИЦИНСКОГО УНИВЕРСИТЕТА ИМЕНИ ПАВЛОВА</t>
  </si>
  <si>
    <t>HEAD OF ICU DEPARTMENT IN THE FIRST ST. PETERSBURG STATE MEDICAL UNIVERSITY NAMED AFTER PAVLOV</t>
  </si>
  <si>
    <t xml:space="preserve">Первый Санкт Петербургский Государственный Медицинский Университет имени Павлова </t>
  </si>
  <si>
    <t>The first St. Petersburg State Medical University named after Pavlov</t>
  </si>
  <si>
    <t>7(911)919-96-24</t>
  </si>
  <si>
    <t>Врач-нефролог</t>
  </si>
  <si>
    <t>Nefrologist</t>
  </si>
  <si>
    <t xml:space="preserve">Москва, Городская Больница им. Боткина   </t>
  </si>
  <si>
    <t>Moscow, City  Hospital name  after S.P. Botkin</t>
  </si>
  <si>
    <t>г.Мытищи, ул.Семашко , д. 10/1, кв.37</t>
  </si>
  <si>
    <t xml:space="preserve">Mitishchi, Semashko str., 10/1, flat 37 </t>
  </si>
  <si>
    <t>8 916 587 07 35</t>
  </si>
  <si>
    <t>Head of dialysis department</t>
  </si>
  <si>
    <t>Санкт-Петербургское государственное бюджетное учреждение здравоохранения "Детская Городская Больница №1</t>
  </si>
  <si>
    <t>Saint-Petersburg state budgetary healthcare institution "City Children's Hospital №1</t>
  </si>
  <si>
    <t>г. Санкт-Петербург, 6 Советская 13 к. 1</t>
  </si>
  <si>
    <t>St. Petersburg, 6 Sovetskaya street, 13-1</t>
  </si>
  <si>
    <t>7 (812) 735 4838</t>
  </si>
  <si>
    <t>Врач нефролог</t>
  </si>
  <si>
    <t>Doctor nefrologist</t>
  </si>
  <si>
    <t>г.Самара, СОКБ им. Середавина</t>
  </si>
  <si>
    <t xml:space="preserve">Samara, SOKB Seredavina </t>
  </si>
  <si>
    <t>г. Самара, ул. Академика Платонова, 8 кв 169</t>
  </si>
  <si>
    <t>Bld. 8, Academician Platonov street, apartment  169, Samara, 443011, Russian Federation</t>
  </si>
  <si>
    <t>7(927)688-81-00</t>
  </si>
  <si>
    <t>Заведующий отделением нефрологии</t>
  </si>
  <si>
    <t>Head of nephrology department</t>
  </si>
  <si>
    <t>МОСКВА, ГКБ им. Боткина</t>
  </si>
  <si>
    <t>MOSCOW, MUNICIPAL HOSPITAL im, BOTKIN</t>
  </si>
  <si>
    <t>4507 138317</t>
  </si>
  <si>
    <t>ОВД Района "Очаково-Матвеевское" г. Москвы</t>
  </si>
  <si>
    <t>OVD District "Ochakovo-Matveyevskoe" of Moscow</t>
  </si>
  <si>
    <t>8 985 808 65 19</t>
  </si>
  <si>
    <t xml:space="preserve">Зав. Кафедрой Анестезиологии и Реаниматологии l МГМУ им. Сеченова </t>
  </si>
  <si>
    <t>Head of Chair of Anesthesiology and Reanimatology l MSMU N.A. Sechenov</t>
  </si>
  <si>
    <t>Москва, Первый Медицинский Государственный Университет им. Сеченова</t>
  </si>
  <si>
    <t>First Moscow State Medical University N.A. Sechenov</t>
  </si>
  <si>
    <t>4505 379261</t>
  </si>
  <si>
    <t>ОВД Алексеевского района г. Москвы</t>
  </si>
  <si>
    <t>OVD Alekseevskogo raiona, Moscow</t>
  </si>
  <si>
    <t>20.08.2003</t>
  </si>
  <si>
    <t>Москва, Первый Рижский переулок 3-10</t>
  </si>
  <si>
    <t>7-903-228-8583</t>
  </si>
  <si>
    <t xml:space="preserve">Otdelom UFMS Russia po Chechenskoi Respublike v Zavodskom r-ne gor.Groznogo </t>
  </si>
  <si>
    <t xml:space="preserve">Полтавец Александра Владимировна </t>
  </si>
  <si>
    <t>Poltavets Alexandra Vladimirovna</t>
  </si>
  <si>
    <t>Nephrologist</t>
  </si>
  <si>
    <t>Городская клиническая больница № 40, Екатеринбург</t>
  </si>
  <si>
    <t>City Clinical Hospital No. 40, Ekaterinburg</t>
  </si>
  <si>
    <t>6505 633531</t>
  </si>
  <si>
    <t>Управлением внутренних дел Чкаловского района  города Екатеринбурга</t>
  </si>
  <si>
    <t>667416371852</t>
  </si>
  <si>
    <t>123-113-962 09</t>
  </si>
  <si>
    <t>г. Екатеринбург, ул. Белореченская, дом 34, корп. 2, кв. 81</t>
  </si>
  <si>
    <t xml:space="preserve">Ekaterinburg, Belorechenskaya str., 34/2 - 81 </t>
  </si>
  <si>
    <t>40817810104000440461</t>
  </si>
  <si>
    <t>Ural Branch of Raiffeisenbank JSC, Ekaterinburg</t>
  </si>
  <si>
    <t>30101810100000000906</t>
  </si>
  <si>
    <t>046577906</t>
  </si>
  <si>
    <t>ОВД Района Бирюлево Восточное города Москвы</t>
  </si>
  <si>
    <t>032-347-049-20</t>
  </si>
  <si>
    <t>Moscow Bank of the Savings Bank of Russia, Moscow</t>
  </si>
  <si>
    <t>Бовкун Игорь Викторович</t>
  </si>
  <si>
    <t xml:space="preserve">Bovkun Igor Viktorovich </t>
  </si>
  <si>
    <t>заведующий отделением ОРИТ для экстренной детоксикации</t>
  </si>
  <si>
    <t>Head of the Department of Orthodontics for emergency detoxification</t>
  </si>
  <si>
    <t>4007 269347</t>
  </si>
  <si>
    <t>ТП №52 отдела УФМС России по Санкт-Петербургу и Ленинградской области в Невском р-не г. Санкт-Петербурга</t>
  </si>
  <si>
    <t>TP No. 52 of the Department of the Federal Migration Service of Russia for St. Petersburg and the Leningrad Region in the Nevsky District of St. Petersburg</t>
  </si>
  <si>
    <t>781118290578</t>
  </si>
  <si>
    <t>021-037-915-00</t>
  </si>
  <si>
    <t>СПб ул. Бабушкина 47 к 3 кв 17</t>
  </si>
  <si>
    <t>SPb Babushkina str. 47 to 3 kv 17</t>
  </si>
  <si>
    <t>40817810255033097968</t>
  </si>
  <si>
    <t>North-West Bank PJSC Sberbank, St. Petersburg</t>
  </si>
  <si>
    <t>презентация</t>
  </si>
  <si>
    <t>тезисы выступления</t>
  </si>
  <si>
    <t>монография по продукту</t>
  </si>
  <si>
    <t>приложение/веб-сайт/он-лайн модуль</t>
  </si>
  <si>
    <t>presentation</t>
  </si>
  <si>
    <t>product monograph</t>
  </si>
  <si>
    <t>Application, a website, an Online module for training</t>
  </si>
  <si>
    <t>plan of the speech</t>
  </si>
  <si>
    <t>Id</t>
  </si>
  <si>
    <t>Name1</t>
  </si>
  <si>
    <t>12</t>
  </si>
  <si>
    <t>03-08-2007</t>
  </si>
  <si>
    <t>18</t>
  </si>
  <si>
    <t>13-02-2003</t>
  </si>
  <si>
    <t>27-08-2008</t>
  </si>
  <si>
    <t>17-05-2014</t>
  </si>
  <si>
    <t>12-11-2003</t>
  </si>
  <si>
    <t>22</t>
  </si>
  <si>
    <t>04-10-2013</t>
  </si>
  <si>
    <t>12-02-2001</t>
  </si>
  <si>
    <t>10</t>
  </si>
  <si>
    <t>02-08-2005</t>
  </si>
  <si>
    <t>09-08-2013</t>
  </si>
  <si>
    <t>16-03-2002</t>
  </si>
  <si>
    <t>16</t>
  </si>
  <si>
    <t>24-09-2005</t>
  </si>
  <si>
    <t>19</t>
  </si>
  <si>
    <t>06-03-2014</t>
  </si>
  <si>
    <t>29-10-2005</t>
  </si>
  <si>
    <t>21-10-2006</t>
  </si>
  <si>
    <t>13</t>
  </si>
  <si>
    <t>25-02-2013</t>
  </si>
  <si>
    <t>8</t>
  </si>
  <si>
    <t>10-01-2003</t>
  </si>
  <si>
    <t>29-11-2003</t>
  </si>
  <si>
    <t>21-09-2011</t>
  </si>
  <si>
    <t>22-11-2007</t>
  </si>
  <si>
    <t>02-04-2004</t>
  </si>
  <si>
    <t>28-01-2004</t>
  </si>
  <si>
    <t>5</t>
  </si>
  <si>
    <t>15-04-2011</t>
  </si>
  <si>
    <t>23-06-2007</t>
  </si>
  <si>
    <t>12-05-2012</t>
  </si>
  <si>
    <t>10-10-2003</t>
  </si>
  <si>
    <t>20-03-2007</t>
  </si>
  <si>
    <t>16-04-2002</t>
  </si>
  <si>
    <t>05-12-2009</t>
  </si>
  <si>
    <t>29-12-2001</t>
  </si>
  <si>
    <t>23</t>
  </si>
  <si>
    <t>14-02-2003</t>
  </si>
  <si>
    <t>20</t>
  </si>
  <si>
    <t>01-06-2002</t>
  </si>
  <si>
    <t>6</t>
  </si>
  <si>
    <t>08-10-2015</t>
  </si>
  <si>
    <t>17</t>
  </si>
  <si>
    <t>17-11-2004</t>
  </si>
  <si>
    <t>08-08-2001</t>
  </si>
  <si>
    <t>07-09-2012</t>
  </si>
  <si>
    <t>02-03-2005</t>
  </si>
  <si>
    <t>04-06-2003</t>
  </si>
  <si>
    <t>15</t>
  </si>
  <si>
    <t>04-01-2002</t>
  </si>
  <si>
    <t>21-06-2007</t>
  </si>
  <si>
    <t>27-01-2006</t>
  </si>
  <si>
    <t>11</t>
  </si>
  <si>
    <t>28-08-2014</t>
  </si>
  <si>
    <t>01-04-2003</t>
  </si>
  <si>
    <t>16-09-2013</t>
  </si>
  <si>
    <t>22-08-2008</t>
  </si>
  <si>
    <t>31-01-2002</t>
  </si>
  <si>
    <t>12-03-2015</t>
  </si>
  <si>
    <t>10-10-2006</t>
  </si>
  <si>
    <t>18-08-2009</t>
  </si>
  <si>
    <t>21</t>
  </si>
  <si>
    <t>18-05-2001</t>
  </si>
  <si>
    <t>30-08-2012</t>
  </si>
  <si>
    <t>9</t>
  </si>
  <si>
    <t>31-01-2011</t>
  </si>
  <si>
    <t>18-12-2000</t>
  </si>
  <si>
    <t>08-02-2017</t>
  </si>
  <si>
    <t>11-01-2002</t>
  </si>
  <si>
    <t>15-08-2012</t>
  </si>
  <si>
    <t>24-08-2001</t>
  </si>
  <si>
    <t>14</t>
  </si>
  <si>
    <t>06-03-2007</t>
  </si>
  <si>
    <t>42007681</t>
  </si>
  <si>
    <t>23-05-2002</t>
  </si>
  <si>
    <t>26-07-2006</t>
  </si>
  <si>
    <t>26-08-2014</t>
  </si>
  <si>
    <t>09-06-2008</t>
  </si>
  <si>
    <t>30-10-1999</t>
  </si>
  <si>
    <t>24-12-2003</t>
  </si>
  <si>
    <t>30-03-2006</t>
  </si>
  <si>
    <t>03-07-2002</t>
  </si>
  <si>
    <t>22-12-2001</t>
  </si>
  <si>
    <t>14-10-2010</t>
  </si>
  <si>
    <t>89031035573</t>
  </si>
  <si>
    <t>31-07-2012</t>
  </si>
  <si>
    <t>26-11-2002</t>
  </si>
  <si>
    <t>25-03-2016</t>
  </si>
  <si>
    <t>15-01-2002</t>
  </si>
  <si>
    <t>04-10-2012</t>
  </si>
  <si>
    <t>06-05-2003</t>
  </si>
  <si>
    <t>03-12-2012</t>
  </si>
  <si>
    <t>02-11-2001</t>
  </si>
  <si>
    <t>20-10-2001</t>
  </si>
  <si>
    <t>27-12-2012</t>
  </si>
  <si>
    <t>30-06-2006</t>
  </si>
  <si>
    <t>26-08-2008</t>
  </si>
  <si>
    <t>79169221667</t>
  </si>
  <si>
    <t>24-06-2010</t>
  </si>
  <si>
    <t>07-08-2013</t>
  </si>
  <si>
    <t>22-01-2003</t>
  </si>
  <si>
    <t>02-10-2003</t>
  </si>
  <si>
    <t>30-01-2015</t>
  </si>
  <si>
    <t>09-12-2015</t>
  </si>
  <si>
    <t>27-07-2007</t>
  </si>
  <si>
    <t>01-02-2005</t>
  </si>
  <si>
    <t>89036812812</t>
  </si>
  <si>
    <t>18-10-2002</t>
  </si>
  <si>
    <t>23-03-2011</t>
  </si>
  <si>
    <t>89147912497</t>
  </si>
  <si>
    <t>31-05-2011</t>
  </si>
  <si>
    <t>23-07-2009</t>
  </si>
  <si>
    <t>08-10-2007</t>
  </si>
  <si>
    <t>21-01-2004</t>
  </si>
  <si>
    <t>20-08-2009</t>
  </si>
  <si>
    <t>04-05-2003</t>
  </si>
  <si>
    <t>07-11-2006</t>
  </si>
  <si>
    <t>08-12-2002</t>
  </si>
  <si>
    <t>22-06-2000</t>
  </si>
  <si>
    <t>02-11-2004</t>
  </si>
  <si>
    <t>30-10-2003</t>
  </si>
  <si>
    <t>26-12-2001</t>
  </si>
  <si>
    <t>13-04-2012</t>
  </si>
  <si>
    <t>26-03-2003</t>
  </si>
  <si>
    <t>27-11-2015</t>
  </si>
  <si>
    <t>30-11-2001</t>
  </si>
  <si>
    <t>11-05-2004</t>
  </si>
  <si>
    <t>05-03-2005</t>
  </si>
  <si>
    <t>20-01-2003</t>
  </si>
  <si>
    <t>18-04-2001</t>
  </si>
  <si>
    <t>08-08-2011</t>
  </si>
  <si>
    <t>30-09-2010</t>
  </si>
  <si>
    <t>15-09-2008</t>
  </si>
  <si>
    <t>07-09-2001</t>
  </si>
  <si>
    <t>14-05-2003</t>
  </si>
  <si>
    <t>05-10-2007</t>
  </si>
  <si>
    <t>09-09-2014</t>
  </si>
  <si>
    <t>18-08-1999</t>
  </si>
  <si>
    <t>06-07-2007</t>
  </si>
  <si>
    <t>17-08-2004</t>
  </si>
  <si>
    <t>03-03-2009</t>
  </si>
  <si>
    <t>27-04-2002</t>
  </si>
  <si>
    <t>10-09-2002</t>
  </si>
  <si>
    <t>19-06-2009</t>
  </si>
  <si>
    <t>25-10-2003</t>
  </si>
  <si>
    <t>06-07-2004</t>
  </si>
  <si>
    <t>14-05-2002</t>
  </si>
  <si>
    <t>89086375877</t>
  </si>
  <si>
    <t>29-01-2001</t>
  </si>
  <si>
    <t>7</t>
  </si>
  <si>
    <t>12-05-2004</t>
  </si>
  <si>
    <t>14-09-1999</t>
  </si>
  <si>
    <t>26-09-2001</t>
  </si>
  <si>
    <t>09-03-2004</t>
  </si>
  <si>
    <t>12-07-2005</t>
  </si>
  <si>
    <t>27-02-2003</t>
  </si>
  <si>
    <t>25-06-2002</t>
  </si>
  <si>
    <t>19-06-2002</t>
  </si>
  <si>
    <t>21-03-2003</t>
  </si>
  <si>
    <t>10-04-2008</t>
  </si>
  <si>
    <t>07-07-2006</t>
  </si>
  <si>
    <t>18-12-2008</t>
  </si>
  <si>
    <t>30-01-2002</t>
  </si>
  <si>
    <t>21-08-2007</t>
  </si>
  <si>
    <t>17-04-2002</t>
  </si>
  <si>
    <t>02-06-2015</t>
  </si>
  <si>
    <t>13-12-2001</t>
  </si>
  <si>
    <t>21-07-2004</t>
  </si>
  <si>
    <t>15-02-2006</t>
  </si>
  <si>
    <t>14-06-2013</t>
  </si>
  <si>
    <t>4</t>
  </si>
  <si>
    <t>25-12-2000</t>
  </si>
  <si>
    <t>26-06-2006</t>
  </si>
  <si>
    <t>10-01-2007</t>
  </si>
  <si>
    <t>30-03-2012</t>
  </si>
  <si>
    <t>15-11-2005</t>
  </si>
  <si>
    <t>16-12-2002</t>
  </si>
  <si>
    <t>28-02-2011</t>
  </si>
  <si>
    <t>06-08-2002</t>
  </si>
  <si>
    <t>30-11-2009</t>
  </si>
  <si>
    <t>01-02-2012</t>
  </si>
  <si>
    <t>16-09-2008</t>
  </si>
  <si>
    <t>20-02-2002</t>
  </si>
  <si>
    <t>02-09-2005</t>
  </si>
  <si>
    <t>23-07-2008</t>
  </si>
  <si>
    <t>02-07-2003</t>
  </si>
  <si>
    <t>04-09-2014</t>
  </si>
  <si>
    <t>31-07-2014</t>
  </si>
  <si>
    <t>28-07-2010</t>
  </si>
  <si>
    <t>23-04-2013</t>
  </si>
  <si>
    <t>89055884848</t>
  </si>
  <si>
    <t>13-12-2005</t>
  </si>
  <si>
    <t>02-08-2004</t>
  </si>
  <si>
    <t>03-12-2002</t>
  </si>
  <si>
    <t>18-02-2011</t>
  </si>
  <si>
    <t>23-12-2010</t>
  </si>
  <si>
    <t>27-03-2003</t>
  </si>
  <si>
    <t>01-08-2012</t>
  </si>
  <si>
    <t>19-07-2012</t>
  </si>
  <si>
    <t>43207612</t>
  </si>
  <si>
    <t>09-02-2012</t>
  </si>
  <si>
    <t>29-04-2008</t>
  </si>
  <si>
    <t>17-09-1977</t>
  </si>
  <si>
    <t>08-02-2002</t>
  </si>
  <si>
    <t>01-07-2010</t>
  </si>
  <si>
    <t>08-01-2002</t>
  </si>
  <si>
    <t>23-12-2012</t>
  </si>
  <si>
    <t>12-01-2001</t>
  </si>
  <si>
    <t>17-05-2015</t>
  </si>
  <si>
    <t>89161406549</t>
  </si>
  <si>
    <t>44525700</t>
  </si>
  <si>
    <t>07-08-2012</t>
  </si>
  <si>
    <t>14-10-2002</t>
  </si>
  <si>
    <t>04-07-2002</t>
  </si>
  <si>
    <t>07-08-2002</t>
  </si>
  <si>
    <t>21-12-2002</t>
  </si>
  <si>
    <t>03-05-2012</t>
  </si>
  <si>
    <t>30-03-2007</t>
  </si>
  <si>
    <t>02-12-2010</t>
  </si>
  <si>
    <t>27-09-2011</t>
  </si>
  <si>
    <t>07-10-2015</t>
  </si>
  <si>
    <t>08-08-2008</t>
  </si>
  <si>
    <t>12-03-2009</t>
  </si>
  <si>
    <t>21-12-2013</t>
  </si>
  <si>
    <t>20-08-2002</t>
  </si>
  <si>
    <t>11-03-2005</t>
  </si>
  <si>
    <t>02-03-2006</t>
  </si>
  <si>
    <t>19-02-2010</t>
  </si>
  <si>
    <t>31-08-2006</t>
  </si>
  <si>
    <t>24-10-2007</t>
  </si>
  <si>
    <t>20-03-2012</t>
  </si>
  <si>
    <t>20-11-2000</t>
  </si>
  <si>
    <t>01-02-2007</t>
  </si>
  <si>
    <t>01-03-2005</t>
  </si>
  <si>
    <t>30-01-2010</t>
  </si>
  <si>
    <t>13-01-2003</t>
  </si>
  <si>
    <t>28-01-2003</t>
  </si>
  <si>
    <t>89263592988</t>
  </si>
  <si>
    <t>08-04-2016</t>
  </si>
  <si>
    <t>18-08-2006</t>
  </si>
  <si>
    <t>14-06-2001</t>
  </si>
  <si>
    <t>89272097892</t>
  </si>
  <si>
    <t>20-08-2001</t>
  </si>
  <si>
    <t>13-07-2006</t>
  </si>
  <si>
    <t>19-03-2002</t>
  </si>
  <si>
    <t>10-08-2012</t>
  </si>
  <si>
    <t>02-09-2004</t>
  </si>
  <si>
    <t>15-01-2004</t>
  </si>
  <si>
    <t>07-05-2001</t>
  </si>
  <si>
    <t>12-12-2011</t>
  </si>
  <si>
    <t>14-09-2002</t>
  </si>
  <si>
    <t>14-11-2013</t>
  </si>
  <si>
    <t>11-07-2002</t>
  </si>
  <si>
    <t>05-06-2009</t>
  </si>
  <si>
    <t>17-09-2001</t>
  </si>
  <si>
    <t>770264113</t>
  </si>
  <si>
    <t>21-07-2014</t>
  </si>
  <si>
    <t>01-03-2003</t>
  </si>
  <si>
    <t>06-09-2002</t>
  </si>
  <si>
    <t>18-04-2003</t>
  </si>
  <si>
    <t>16-03-2000</t>
  </si>
  <si>
    <t>14-12-2006</t>
  </si>
  <si>
    <t>06-09-2014</t>
  </si>
  <si>
    <t>25-04-2017</t>
  </si>
  <si>
    <t>79219175455</t>
  </si>
  <si>
    <t>18-07-2006</t>
  </si>
  <si>
    <t>26-02-2002</t>
  </si>
  <si>
    <t>21-03-2001</t>
  </si>
  <si>
    <t>04-06-2013</t>
  </si>
  <si>
    <t>30-04-2003</t>
  </si>
  <si>
    <t>04-10-2002</t>
  </si>
  <si>
    <t>31-05-2005</t>
  </si>
  <si>
    <t>3</t>
  </si>
  <si>
    <t>30-09-2002</t>
  </si>
  <si>
    <t>11-09-2004</t>
  </si>
  <si>
    <t>27-05-2005</t>
  </si>
  <si>
    <t>10-06-2008</t>
  </si>
  <si>
    <t>12-07-2012</t>
  </si>
  <si>
    <t>27-02-2008</t>
  </si>
  <si>
    <t>20-06-2006</t>
  </si>
  <si>
    <t>12-03-2003</t>
  </si>
  <si>
    <t>13-09-2010</t>
  </si>
  <si>
    <t>30-12-2000</t>
  </si>
  <si>
    <t>26-11-2009</t>
  </si>
  <si>
    <t>23-08-2006</t>
  </si>
  <si>
    <t>05-10-1999</t>
  </si>
  <si>
    <t>04-05-2011</t>
  </si>
  <si>
    <t>03-04-2014</t>
  </si>
  <si>
    <t>03-10-2001</t>
  </si>
  <si>
    <t>25-07-2008</t>
  </si>
  <si>
    <t>20-04-2002</t>
  </si>
  <si>
    <t>04-09-2004</t>
  </si>
  <si>
    <t>13-03-2002</t>
  </si>
  <si>
    <t>24-12-2014</t>
  </si>
  <si>
    <t>04-02-2003</t>
  </si>
  <si>
    <t>11-03-2002</t>
  </si>
  <si>
    <t>07-11-2005</t>
  </si>
  <si>
    <t>15-07-2009</t>
  </si>
  <si>
    <t>20-07-2007</t>
  </si>
  <si>
    <t>15-07-2002</t>
  </si>
  <si>
    <t>09-11-2005</t>
  </si>
  <si>
    <t>89226127644</t>
  </si>
  <si>
    <t>24-08-2007</t>
  </si>
  <si>
    <t>89119224272</t>
  </si>
  <si>
    <t>Должность</t>
  </si>
  <si>
    <t>Место работы</t>
  </si>
  <si>
    <t>Паспорт</t>
  </si>
  <si>
    <t>Выдан кем</t>
  </si>
  <si>
    <t>ИНН</t>
  </si>
  <si>
    <t>СНИЛС</t>
  </si>
  <si>
    <t>Телефон</t>
  </si>
  <si>
    <t>р/счет</t>
  </si>
  <si>
    <t>Банк</t>
  </si>
  <si>
    <t>Сумма за услуги:</t>
  </si>
  <si>
    <t>patient register</t>
  </si>
  <si>
    <t>регистр пациентов</t>
  </si>
  <si>
    <t>results of the study</t>
  </si>
  <si>
    <t>результаты исследования</t>
  </si>
  <si>
    <t>Продукт/направление</t>
  </si>
  <si>
    <t>Cost center MED AFFAIRS</t>
  </si>
  <si>
    <t>Cost center ADVERTISINg</t>
  </si>
  <si>
    <t>Cost center Market access</t>
  </si>
  <si>
    <t>Супран</t>
  </si>
  <si>
    <t>307210227 - Med Affairs RU AN</t>
  </si>
  <si>
    <t>307210220 - Moscow region: ANESTHESIA</t>
  </si>
  <si>
    <t>307230089 - Market access</t>
  </si>
  <si>
    <t>ПД</t>
  </si>
  <si>
    <t>307215827 - Med Affairs RU PD</t>
  </si>
  <si>
    <t>307215831 - Sales&amp;Mkt RU PD</t>
  </si>
  <si>
    <t>Призмафлекс</t>
  </si>
  <si>
    <t>307216523 - Med Affairs RU Acute</t>
  </si>
  <si>
    <t xml:space="preserve">307216520  - Marketing Acute </t>
  </si>
  <si>
    <t>Гемодиализ</t>
  </si>
  <si>
    <t>307216020 - Moscow region: HEMODIALYSIS "H</t>
  </si>
  <si>
    <t>Биохирургия</t>
  </si>
  <si>
    <t>307215627 - Med Affairs RU BioSurgery</t>
  </si>
  <si>
    <t>307215620 - Moscow region: WOUND MANAGEMEN</t>
  </si>
  <si>
    <t>Бревиблок</t>
  </si>
  <si>
    <t>307210230 - Med Affairs RU Brevibloc</t>
  </si>
  <si>
    <t>307210226 - Brevibloc expenses</t>
  </si>
  <si>
    <t>Плазмалит</t>
  </si>
  <si>
    <t>307210027 - Med Affairs RU IV</t>
  </si>
  <si>
    <t>307210026 - Plasmalyte expenses</t>
  </si>
  <si>
    <t>Оликлиномель и церневит</t>
  </si>
  <si>
    <t>307211627 - Med Affairs RU Nutrition</t>
  </si>
  <si>
    <t>307211620 - Moscow region: NUTRITION</t>
  </si>
  <si>
    <t>Онкологические препараты</t>
  </si>
  <si>
    <t>307212327 - Med Affairs RU GPI</t>
  </si>
  <si>
    <t>307212331 - Sales&amp;Mkt RU GPI</t>
  </si>
  <si>
    <t>Инфузионные системы</t>
  </si>
  <si>
    <t>307212227 - Med Affairs RU Infusion System</t>
  </si>
  <si>
    <t>307212231 - Sales&amp;Mkt RU Infusion Systems</t>
  </si>
  <si>
    <t>Другое (указать)</t>
  </si>
  <si>
    <t>Other (Specify)</t>
  </si>
  <si>
    <t>3611 554665</t>
  </si>
  <si>
    <t>40817810519000067526</t>
  </si>
  <si>
    <t>40817810855033106327</t>
  </si>
  <si>
    <t xml:space="preserve">заведующий отделением  </t>
  </si>
  <si>
    <t xml:space="preserve">Head of Department </t>
  </si>
  <si>
    <t>ХАБАРОВСК, КРАЕВАЯ КЛИНИЧЕСКАЯ БОЛЬНИЦА №1</t>
  </si>
  <si>
    <t>Khabarovsk, regional hospital №1</t>
  </si>
  <si>
    <t xml:space="preserve">Г. Хабаровск, ул. Пушкина 49, кв 32 </t>
  </si>
  <si>
    <t>Khabarovsk, st. Pushkina, 49,  32</t>
  </si>
  <si>
    <t>8 914 544 16 88</t>
  </si>
  <si>
    <t>40817810370001005883</t>
  </si>
  <si>
    <t>Дальневосточный банк ПАО Сбербанк, г. Хабаровск</t>
  </si>
  <si>
    <t>Far Eastern Bank PJSC Sberbank, Khabarovsk</t>
  </si>
  <si>
    <t>40817810616544322106</t>
  </si>
  <si>
    <t>Ural Bank PJSC Sberbank, Yekaterinburg</t>
  </si>
  <si>
    <t>Аксельрод Борис Альбертович</t>
  </si>
  <si>
    <t xml:space="preserve">заведующий отделением анестезиологии-реаниматологии </t>
  </si>
  <si>
    <t>ФБГНУ РНЦХ им. акад. Б.В. Петровского</t>
  </si>
  <si>
    <t>Scientific Surgery Center n.a. Petrovsky</t>
  </si>
  <si>
    <t>45 18 018209</t>
  </si>
  <si>
    <t>Отделом УФМС России по гор. Москве по району Аэропорт</t>
  </si>
  <si>
    <t>15-03-2017</t>
  </si>
  <si>
    <t>771408465061</t>
  </si>
  <si>
    <t>106-526-614-38</t>
  </si>
  <si>
    <t>Москва, ул. Черняховского, дом 9, корп. 4, кв. 316</t>
  </si>
  <si>
    <t>Moscow, Chernyakhovsky, house 9, building. 4, ap. 316</t>
  </si>
  <si>
    <t>8-925-740-37-97</t>
  </si>
  <si>
    <t>40817810050010122040</t>
  </si>
  <si>
    <t>30101810300000000545</t>
  </si>
  <si>
    <t>044525545</t>
  </si>
  <si>
    <t>Кротенко Николай Петрович</t>
  </si>
  <si>
    <t xml:space="preserve">Krotenko Nikolai Petrovich </t>
  </si>
  <si>
    <t xml:space="preserve">врач анестезиолог реаниматолог отделения ОРИТ </t>
  </si>
  <si>
    <t>doctor anesthesiologist resuscitator of the Department of Orthodontics</t>
  </si>
  <si>
    <t xml:space="preserve">ГКБ им С.С. Юдина </t>
  </si>
  <si>
    <t>City Clinical Hospital named after S.S. Yudina</t>
  </si>
  <si>
    <t>45 09 932414</t>
  </si>
  <si>
    <t>Отделением по району Аэропорт ОУФМС России по г. Москве в САО</t>
  </si>
  <si>
    <t>Department for the district Airport of the Federal Registration Service of Russia for Moscow in the Northern Administrative District</t>
  </si>
  <si>
    <t>28-01-2009</t>
  </si>
  <si>
    <t>771402422150</t>
  </si>
  <si>
    <t>038-685-077-96</t>
  </si>
  <si>
    <t>Москва, ул. Черняховского, дом 5, корп. 1, кв. 39</t>
  </si>
  <si>
    <t>Moscow, Chernyakhovsky, Building 5, building. 1, ap. 39</t>
  </si>
  <si>
    <t>89268664976</t>
  </si>
  <si>
    <t>40817810038068178074</t>
  </si>
  <si>
    <t>Каллагов Давид Зелихманович</t>
  </si>
  <si>
    <t xml:space="preserve">Kallagov David Zelimkhanovich </t>
  </si>
  <si>
    <t xml:space="preserve">Врач анестезиолог, реаниматолог </t>
  </si>
  <si>
    <t>Anesthesiologist, resuscitator</t>
  </si>
  <si>
    <t>ГКБ им С.С. Юдина</t>
  </si>
  <si>
    <t>45 16 901922</t>
  </si>
  <si>
    <t>Отделом УФМС России по гор. Москве по району Москворечье-Сабурово</t>
  </si>
  <si>
    <t>30-11-2016</t>
  </si>
  <si>
    <t>150106655925</t>
  </si>
  <si>
    <t>128-701-834-60</t>
  </si>
  <si>
    <t>Москва, ш. Каширское, дом 26, корп. 1, кв. 8</t>
  </si>
  <si>
    <t>Moscow, sh. Kashirskoye, house 26, building. 1, ap. 8</t>
  </si>
  <si>
    <t>89999900704</t>
  </si>
  <si>
    <t>40817810238068157112</t>
  </si>
  <si>
    <t>Трощанский Дмитрий Витальевич</t>
  </si>
  <si>
    <t xml:space="preserve">Troshchansky Dmitry Vitalievich </t>
  </si>
  <si>
    <t>Заместитель главного врача по анестезиологии и реанимации</t>
  </si>
  <si>
    <t>Deputy Chief Physician for Anaesthesiology and Reanimation</t>
  </si>
  <si>
    <t>45 10 566153</t>
  </si>
  <si>
    <t>Отделение по району Тимирязевский ОУФМС России по г. Москве в САО</t>
  </si>
  <si>
    <t>Department for the Timiryazev Regional Department of the Federal Registration Service of Russia for the city of Moscow in the Northern Administrative District</t>
  </si>
  <si>
    <t>16-03-2010</t>
  </si>
  <si>
    <t>771374346867</t>
  </si>
  <si>
    <t>024-969-827-98</t>
  </si>
  <si>
    <t>Москва, Локомотивный пр., дом 11/10, кв. 14</t>
  </si>
  <si>
    <t>Moscow, Locomotive Ave, House 11/10, Apt.</t>
  </si>
  <si>
    <t>89150899441</t>
  </si>
  <si>
    <t>40817810938060082022</t>
  </si>
  <si>
    <t>Shibkova Kuralai Jankbaevna</t>
  </si>
  <si>
    <t xml:space="preserve">врач-хирург </t>
  </si>
  <si>
    <t>doctor-surgeon</t>
  </si>
  <si>
    <t>45 08 596322</t>
  </si>
  <si>
    <t>Department of Internal Affairs of Biryulyovo East Region of Moscow</t>
  </si>
  <si>
    <t>Москва, ул. Педагогическая, дом 10, кв. 87</t>
  </si>
  <si>
    <t>Moscow, str. Pedagogicheskaya, 10 ap. 87</t>
  </si>
  <si>
    <t>8 916 370 00 46</t>
  </si>
  <si>
    <t>40817810738060220288</t>
  </si>
  <si>
    <t>Полупан Александр Александрович</t>
  </si>
  <si>
    <t>Polupan Alexander Alexandrovich</t>
  </si>
  <si>
    <t xml:space="preserve">врач отделением анестезиологии-реаниматологии </t>
  </si>
  <si>
    <t xml:space="preserve">ICU specialist </t>
  </si>
  <si>
    <t>НМИЦ нейрохирургии им.акад.Н.Н.Бурденко</t>
  </si>
  <si>
    <t>MRDC of neurosurgery Burdenko</t>
  </si>
  <si>
    <t>45 08 730098</t>
  </si>
  <si>
    <t>Паспорто-втзовым отделением ОВД района Ясенево гор. Москвы</t>
  </si>
  <si>
    <t>Passport and visa department of the Internal Affairs Department of the Yasenevo mountains. Moscow</t>
  </si>
  <si>
    <t>09-01-2007</t>
  </si>
  <si>
    <t>772878178645</t>
  </si>
  <si>
    <t>131-693-864-72</t>
  </si>
  <si>
    <t>Москвоская обл., пос.Мещерино, мкр "Южные горки", квартал 1, д.10</t>
  </si>
  <si>
    <t>Moscow region, Mešterino village, Yuzhnye Gorki micro district, block 1, 10</t>
  </si>
  <si>
    <t>8-903 667 16 44</t>
  </si>
  <si>
    <t>40817810338049933255</t>
  </si>
  <si>
    <t>в банке</t>
  </si>
  <si>
    <t xml:space="preserve">р Счет № </t>
  </si>
  <si>
    <t xml:space="preserve">к/с </t>
  </si>
  <si>
    <t xml:space="preserve">БИК </t>
  </si>
  <si>
    <t>Адрес</t>
  </si>
  <si>
    <t>На русском</t>
  </si>
  <si>
    <t>На английском</t>
  </si>
  <si>
    <t>Новосибирский филиал ПАО "МДМ БАНК"</t>
  </si>
  <si>
    <t>Novosibirskii filial PAO "MDM BANK"</t>
  </si>
  <si>
    <t>АО Юникредит Банк, Москва</t>
  </si>
  <si>
    <t>UniCredit Bank, Moscow</t>
  </si>
  <si>
    <t>ПАО "Сбербанк России"          Московский банк доп. офис №  9038/01389</t>
  </si>
  <si>
    <t>PAO "Sberbank Russia"          Moskovskii bank dop. ofis №  9038/01389</t>
  </si>
  <si>
    <t>ОАО "Крайинвестбанк" Южное ГУ Банка России по г. Краснодару ДО "Карасунский" г. Краснодар</t>
  </si>
  <si>
    <t>OAO "Kraiinvestbank" Iuzhnoe GU Banka Rossii po g. Krasnodaru DO "Karasunskii" g. Krasnodar</t>
  </si>
  <si>
    <t>Филиал "Петровский" ОАО Банк "Открытие"</t>
  </si>
  <si>
    <t>Filial "Petrovskii" OAO Bank "Otkrytie"</t>
  </si>
  <si>
    <t>Филиал "Северная столица" Закрытого акционерного общества "Райффайзенбанк"в г. Санкт-Петербурге</t>
  </si>
  <si>
    <t>Filial "Severnaia stolitca" Zakrytogo aktcionernogo obshchestva "Raiffaizenbank"v g. Sankt-Peterburge</t>
  </si>
  <si>
    <t>Дополнительный офис № 9038/0191ОАО «Сбербанка России»   г. Москва</t>
  </si>
  <si>
    <t>Dopolnitelnyi ofis № 9038/0191OAO «Sberbanka Rossii»   g. Moskva</t>
  </si>
  <si>
    <t>Филиал ОАО "МДМ Банк" в г. Москва</t>
  </si>
  <si>
    <t>Filial OAO "MDM Bank" v g. Moskva</t>
  </si>
  <si>
    <t>PJSC "Bank" Saint-Petersburg</t>
  </si>
  <si>
    <t>Северо-западный банк ПАО Сбербанк г. Санкт-Петербург</t>
  </si>
  <si>
    <t>ОАО АКБ "РОСБАНК"</t>
  </si>
  <si>
    <t>OAO AKB "ROSBANK"</t>
  </si>
  <si>
    <t>ЗАО КБ "Ситибанк" в г. Москва</t>
  </si>
  <si>
    <t>ZAO KB "Sitibank" v g. Moskva</t>
  </si>
  <si>
    <t>ЗАО КБ "Ситибанк" в. Г. Москва</t>
  </si>
  <si>
    <t>ZAO KB "Sitibank" v. G. Moskva</t>
  </si>
  <si>
    <t>ОАО "Сбербанк России"</t>
  </si>
  <si>
    <t>OAO "Sberbank Rossii"</t>
  </si>
  <si>
    <t>Банк « Возрождение»  (ОАО) Адрес: 101000, г.Москва, Лучников переулок, д7/4, стр 1 Химкинский филиал банка Возрождение Адрес: г.Химки, ул. Библиотечная, д.16.</t>
  </si>
  <si>
    <t>Bank « Vozrozhdenie»  (OAO) Adres: 101000, g.Moskva, Luchnikov pereulok, d7/4, str 1 Khimkinskii filial banka Vozrozhdenie Adres: g.Khimki, ul. Bibliotechnaia, d.16.</t>
  </si>
  <si>
    <t>Северо-западный банк ОАО "Сбербанк России" г.Санкт-Петербург</t>
  </si>
  <si>
    <t>Severo-zapadnyi bank OAO "Sberbank Rossii" g.Sankt-Peterburg</t>
  </si>
  <si>
    <t>ОАО "Сбербанк России" Северо-Западный банк</t>
  </si>
  <si>
    <t>OAO "Sberbank Rossii" Severo-Zapadnyi bank</t>
  </si>
  <si>
    <t>Московский Банк Сбербанка России, Москва</t>
  </si>
  <si>
    <t xml:space="preserve"> ПАО "Банк "Санкт-Петербург", г. Санкт-Петербург</t>
  </si>
  <si>
    <t xml:space="preserve"> PAO "Bank "Sankt-Peterburg", g. Sankt-Peterburg</t>
  </si>
  <si>
    <t>Северо-Западный банк ПАО "Сбербанк России"</t>
  </si>
  <si>
    <t>Severo-Zapadnyi bank PAO "Sberbank Rossii"</t>
  </si>
  <si>
    <t xml:space="preserve">ПАО "Банк"Санкт-Петербург" </t>
  </si>
  <si>
    <t>PJSC "Bank" Saint-Petersburg"</t>
  </si>
  <si>
    <t>Московский банк Сбербанка России, Москва</t>
  </si>
  <si>
    <t>Moscow Bank of the Sberbank of Russia, Moscow</t>
  </si>
  <si>
    <t>ЗАО "Райффайзенбанк" </t>
  </si>
  <si>
    <t>ZAO "Raiffaizenbank" </t>
  </si>
  <si>
    <t>ПАО "БАНК "САНКТ-ПЕТЕРБУРГ"</t>
  </si>
  <si>
    <t>PJSC "BANK" SAINT-PETERSBURG"</t>
  </si>
  <si>
    <t>ЗАО КБ "Ситибанк" г. Москва</t>
  </si>
  <si>
    <t>ZAO KB "Sitibank" g. Moskva</t>
  </si>
  <si>
    <t>Уральский банк ПАО Сбербанк г. Екатеринбург</t>
  </si>
  <si>
    <t>ПАО "Азиатско-Тихоокеанский банк" г.Благовещенск</t>
  </si>
  <si>
    <t>PAO "Aziatsko-Tikhookeanskii bank" g.Blagoveshchensk</t>
  </si>
  <si>
    <t>ОАО "Банк Санкт-Петербург"</t>
  </si>
  <si>
    <t>OAO "Bank Sankt-Peterburg"</t>
  </si>
  <si>
    <t>Новгородский филиал ПАО "Балтийский банк"</t>
  </si>
  <si>
    <t>Novgorodskii filial PAO "Baltiiskii bank"</t>
  </si>
  <si>
    <t>ПАО "БАНК "САНКТ-ПЕТЕРБУРГ" г. Санкт-Петербург</t>
  </si>
  <si>
    <t>PAO "BANK "SANKT-PETERBURG" g. Sankt-Peterburg</t>
  </si>
  <si>
    <t>ОАО "Альфа-банк", г. Москва</t>
  </si>
  <si>
    <t>OAO "Alfa-bank", g. Moskva</t>
  </si>
  <si>
    <t>ЗАО "ВТБ24"</t>
  </si>
  <si>
    <t>ZAO "VTB24"</t>
  </si>
  <si>
    <t>Ф-л ЗС ПАО "Ханты-Мансийский банк Открытие"</t>
  </si>
  <si>
    <t>F-l ZS PAO "Khanty-Mansiiskii bank Otkrytie"</t>
  </si>
  <si>
    <t>Филиал ПАО "БАНК УРАЛСИБ" в Г.Санкт-Петербург</t>
  </si>
  <si>
    <t>Filial PAO "BANK URALSIB" v G.Sankt-Peterburg</t>
  </si>
  <si>
    <t>ЗАО "Райффайзенбанк"</t>
  </si>
  <si>
    <t>ZAO "Raiffaizenbank"</t>
  </si>
  <si>
    <t>в ЗАО "Райффайзенбанк" г. Москва</t>
  </si>
  <si>
    <t>v ZAO "Raiffaizenbank" g. Moskva</t>
  </si>
  <si>
    <t>Санкт-Петербургский ф-л ПАО "Балтийский Банк", г. Санкт-Петербург</t>
  </si>
  <si>
    <t>Sankt-Peterburgskii f-l PAO "Baltiiskii Bank", g. Sankt-Peterburg</t>
  </si>
  <si>
    <t>ОАО «Альфа-банк» Москвагде открыт счет: доп.офис № 9038/0406</t>
  </si>
  <si>
    <t>OAO «Alfa-bank» Moskvagde otkryt schet: dop.ofis № 9038/0406</t>
  </si>
  <si>
    <t>Уральский филиал АО "Райффайзенбанк" г. Екатеринбург</t>
  </si>
  <si>
    <t>Сбербанк России, Москва</t>
  </si>
  <si>
    <t>Sberbank of Russia, Moscow</t>
  </si>
  <si>
    <t>Филиал АО КБ "Ситибанк", г. Санкт-Петербург</t>
  </si>
  <si>
    <t>Filial AO KB "Sitibank", g. Sankt-Peterburg</t>
  </si>
  <si>
    <t>ОАО "МДМ Банк", г. Новосибирск</t>
  </si>
  <si>
    <t>OAO "MDM Bank", g. Novosibirsk</t>
  </si>
  <si>
    <t>АО КБ "Ситибанк" в г. Москва</t>
  </si>
  <si>
    <t>AO KB "Sitibank" v g. Moskva</t>
  </si>
  <si>
    <t>АО "РАЙФФАЙЗЕНБАНК" г. Москва</t>
  </si>
  <si>
    <t>AO "RAIFFAIZENBANK" g. Moskva</t>
  </si>
  <si>
    <t>Северо-Западный банк ПАО "Сбербанк России" г. Санкт-Петербург</t>
  </si>
  <si>
    <t>Severo-Zapadnyi bank PAO "Sberbank Rossii" g. Sankt-Peterburg</t>
  </si>
  <si>
    <t>Дополнительный офис №8610/0100Отделение «Банк Татарстан» №8610ПАО Сбербанк г. Казань</t>
  </si>
  <si>
    <t>Dopolnitelnyi ofis №8610/0100Otdelenie «Bank Tatarstan» №8610PAO Sberbank g. Kazan</t>
  </si>
  <si>
    <t>Филиал ОАО "Уралсиб" г. Уфа</t>
  </si>
  <si>
    <t>Filial OAO "Uralsib" g. Ufa</t>
  </si>
  <si>
    <t xml:space="preserve">Дополнительный офис № 9038/0406ОАО «Сбербанк России»   </t>
  </si>
  <si>
    <t xml:space="preserve">Dopolnitelnyi ofis № 9038/0406OAO «Sberbank Rossii»   </t>
  </si>
  <si>
    <t>ОАО "Банк Москвы" г. Санкт-Петербург</t>
  </si>
  <si>
    <t>OAO "Bank Moskvy" g. Sankt-Peterburg</t>
  </si>
  <si>
    <t>АО "Тинькофф Банк" г. Москва</t>
  </si>
  <si>
    <t>AO "Tinkoff Bank" g. Moskva</t>
  </si>
  <si>
    <t>ОАО "АлЬФА-БАНК" Москва</t>
  </si>
  <si>
    <t>OAO "AlFA-BANK" Moscow</t>
  </si>
  <si>
    <t>ПОВОЛЖСКИЙ БАНК ПАО СБЕРБАНК, г. Самара</t>
  </si>
  <si>
    <t>POVOLZhSKII BANK PAO SBERBANK, g. Samara</t>
  </si>
  <si>
    <t>ОАО "МДМ Банк"</t>
  </si>
  <si>
    <t>OAO "MDM Bank"</t>
  </si>
  <si>
    <t>ОАО "Альфа-банк"</t>
  </si>
  <si>
    <t>OAO "Alfa-bank"</t>
  </si>
  <si>
    <t>ПАО "СКБ-БАНК" г. Екатеринбург</t>
  </si>
  <si>
    <t>PAO "SKB-BANK" g. Ekaterinburg</t>
  </si>
  <si>
    <t>ОСБ "Банк Татарстан" №8610</t>
  </si>
  <si>
    <t>OSB "Bank Tatarstan" №8610</t>
  </si>
  <si>
    <t>Филиал "Южный" ОАО "УРАЛСИБ" г. Краснодар</t>
  </si>
  <si>
    <t>Filial "Iuzhnyi" OAO "URALSIB" g. Krasnodar</t>
  </si>
  <si>
    <t>ОАО "ОТП Банк" г. Москва</t>
  </si>
  <si>
    <t>OAO "OTP Bank" g. Moskva</t>
  </si>
  <si>
    <t>ПАО Сбербанк, Москва</t>
  </si>
  <si>
    <t>PJSC Sberbank, Moscow</t>
  </si>
  <si>
    <t xml:space="preserve">Кабардино-Балканский РФ АО "Россельхозбанк", Нальчик </t>
  </si>
  <si>
    <t xml:space="preserve">Kabardino-Balkanskii RF AO "Rosselkhozbank", Nalchik </t>
  </si>
  <si>
    <t>ОАО "Сбербанк России" г. Москва</t>
  </si>
  <si>
    <t>OAO "Sberbank Rossii" g. Moskva</t>
  </si>
  <si>
    <t>"Банк Татарстан" СБ РФ г. Казань</t>
  </si>
  <si>
    <t>Лекция+ председательство/модерирование на конгрессе/конференции</t>
  </si>
  <si>
    <t>Председательство/модерирование на конгрессе/конференции</t>
  </si>
  <si>
    <t>Chairmanship/Moderation at a congress/conference</t>
  </si>
  <si>
    <t>Lecture + Chairmanship/Moderation at a congress/conference</t>
  </si>
  <si>
    <t>другое (указать в документе Word)</t>
  </si>
  <si>
    <t>RU</t>
  </si>
  <si>
    <t>ENG</t>
  </si>
  <si>
    <r>
      <t>Количество</t>
    </r>
    <r>
      <rPr>
        <sz val="8"/>
        <color theme="3"/>
        <rFont val="Calibri"/>
        <family val="2"/>
        <charset val="204"/>
        <scheme val="minor"/>
      </rPr>
      <t xml:space="preserve"> (для карт пациентов)</t>
    </r>
  </si>
  <si>
    <t>n/a</t>
  </si>
  <si>
    <t>163,2/190,4</t>
  </si>
  <si>
    <t>1. Выберите лектора из выпадающего списка</t>
  </si>
  <si>
    <t>2. Заполните голубые ячейки: дата услуги, тип услуги, тема конференции (если необходимо), наименование услуги, место, аудитория, кол-во карт пациентов (если необходимо)</t>
  </si>
  <si>
    <t>Часть полей переводится на английский язык автоматически; остальное необходимо дозаполнить самостоятельно.</t>
  </si>
  <si>
    <t>Растчет суммы гонорара лектора расчитывается автоматически</t>
  </si>
  <si>
    <t>3. Введите свои контактные данные в таблицу ниже</t>
  </si>
  <si>
    <t>4. Проверьте корректность данных лектора и в случае необходимости корретировки, сообщите Анастасии Пузан</t>
  </si>
  <si>
    <t>5. Для автоматического заполнения документов, нажмите на соответствующие кнопки</t>
  </si>
  <si>
    <t>Дата услуги обязательна для заполнения</t>
  </si>
  <si>
    <t>Для быстрого доступа к папке, нажмите на кнопку</t>
  </si>
  <si>
    <t>Документы появятся в автоматически созданной папке с ФИО лектора и датой первой услуги</t>
  </si>
  <si>
    <t>6. При офрмлении последующих грантов, Вы можете воспользоваться данной кнопкой</t>
  </si>
  <si>
    <t>Данная кнопка очищает все заполненные ранее ячейки выделенные голубым цветом без возможности вернуть данные обратно</t>
  </si>
  <si>
    <t>медсестры</t>
  </si>
  <si>
    <t>nurses</t>
  </si>
  <si>
    <t>Gorokhovatskii Yuriy Ivanovich</t>
  </si>
  <si>
    <t>/ зав. отд. кардиореанимации и интенсивной терапии</t>
  </si>
  <si>
    <t>head of the Department of cardiac intensive care</t>
  </si>
  <si>
    <t>РОССИЙСКИЙ НАУЧНЫЙ ЦЕНТР ХИРУРГИИ ИМ. АКАДЕМИКА Б.В.ПЕТРОВСКОГО</t>
  </si>
  <si>
    <t>RUSSIAN SCIENTIFIC CENTER OF SURGERY NAMED. ACADEMICIAN B. V. PETROVSKY</t>
  </si>
  <si>
    <t>г. Москва, ул. Дениса Давыдова, дом 7, кв. 47</t>
  </si>
  <si>
    <t>Moscow, St. Denis Davydov.,7, kV. 47</t>
  </si>
  <si>
    <t>8 903 712 93 03</t>
  </si>
  <si>
    <t>40817810538180225745</t>
  </si>
  <si>
    <t>Московский Банк Бербанка России, г. Москва</t>
  </si>
  <si>
    <t>Moscow Bank of Burbank of Russia, Moscow</t>
  </si>
  <si>
    <t>8-926-399-03-23</t>
  </si>
  <si>
    <t>40817810538299408929</t>
  </si>
  <si>
    <t>Московский Банк Сбербанка России г. Москва</t>
  </si>
  <si>
    <t>врач-нефролог, зав. отделением перитонеального диализа</t>
  </si>
  <si>
    <t>Nephrologist, Head of Peritoneal Dialysis</t>
  </si>
  <si>
    <t>МОНИКИ им. М.Ф. Владимирского</t>
  </si>
  <si>
    <t>Moscow Regional Scientific Research Clinical Institute. M.F. Vladimirsky</t>
  </si>
  <si>
    <t>Отделом УФМС России по г. Москве по району Чертаново центральное</t>
  </si>
  <si>
    <t>Department of the Federal Migration Service of Russia for the city of Moscow in the Chertanovo district central</t>
  </si>
  <si>
    <t>08.07.2013</t>
  </si>
  <si>
    <t>031-149-106-01</t>
  </si>
  <si>
    <t>г. Москва, ул. Днепропетровская, дом 37, корп. 2, кв. 243</t>
  </si>
  <si>
    <t>Moscow, st. Dnepropetrovskaya, Building 37, korp. 2, ap. 243</t>
  </si>
  <si>
    <t>8-916-523-17-38</t>
  </si>
  <si>
    <t>40817810538290361641</t>
  </si>
  <si>
    <t xml:space="preserve">Борисов Александр Сергеевич </t>
  </si>
  <si>
    <t>Borisov Alexander Sergeevich</t>
  </si>
  <si>
    <t>зав. отд. гемодиализа</t>
  </si>
  <si>
    <t>head of hemodialysis</t>
  </si>
  <si>
    <t xml:space="preserve">Федеральное государственное бюджетное учреждение «НАЦИОНАЛЬНЫЙ МЕДИЦИНСКИЙ ИССЛЕДОВАТЕЛЬСКИЙ ЦЕНТР ИМЕНИ АКАДЕМИКА Е.Н. МЕШАЛКИНА» </t>
  </si>
  <si>
    <t xml:space="preserve">Federal State Budgetary Institution "NATIONAL MEDICAL RESEARCH CENTER NAMED AFTER ACADEMICIAN E.N. MESHALKIN» </t>
  </si>
  <si>
    <t>5002 890291</t>
  </si>
  <si>
    <t>ОВД Советского района г. Новосибирска</t>
  </si>
  <si>
    <t>The Department of Internal Affairs of the Soviet District of Novosibirsk</t>
  </si>
  <si>
    <t>29.01.2002</t>
  </si>
  <si>
    <t>540813373375</t>
  </si>
  <si>
    <t>004-201-367-72</t>
  </si>
  <si>
    <t>г. Новосибирск, ул. Иванова, дом 33, кв. 14</t>
  </si>
  <si>
    <t>Novosibirsk, st. Ivanova, house 33, apt. 14</t>
  </si>
  <si>
    <t>89139164103</t>
  </si>
  <si>
    <t>40817810044050415773</t>
  </si>
  <si>
    <t>Новосибирское отделение №8047 ПАО Сбербанк г. Новосибирск</t>
  </si>
  <si>
    <t>Novosibirsk Branch No. 8047 PAO Sberbank Novosibirsk</t>
  </si>
  <si>
    <t xml:space="preserve">Колесников Сергей Васильевич </t>
  </si>
  <si>
    <t>Kolesnikov Sergey Vasilyevich</t>
  </si>
  <si>
    <t>врач</t>
  </si>
  <si>
    <t>doctor</t>
  </si>
  <si>
    <t>5001 636693</t>
  </si>
  <si>
    <t>ОВД г. Бердска Новосибирской области</t>
  </si>
  <si>
    <t>Department of Internal Affairs of the city of Berdsk, Novosibirsk Region</t>
  </si>
  <si>
    <t>27.09.2001</t>
  </si>
  <si>
    <t>544530659290</t>
  </si>
  <si>
    <t>011-763-590-31</t>
  </si>
  <si>
    <t>г. Новосибирск, ул. Героев Труда, дом 35а, кв. 93</t>
  </si>
  <si>
    <t>Novosibirsk, st. Heroes of Labor, house 35a, apt. 93</t>
  </si>
  <si>
    <t>89061941309</t>
  </si>
  <si>
    <t>40817810130244000033</t>
  </si>
  <si>
    <t>Филиал №5440 Банка ВТБ ПАО</t>
  </si>
  <si>
    <t>Branch No. 5440 of VTB Bank PJSC</t>
  </si>
  <si>
    <t>30101810450040000719</t>
  </si>
  <si>
    <t>045004719</t>
  </si>
  <si>
    <t xml:space="preserve">Малов Андрей Александрович </t>
  </si>
  <si>
    <t>Malov Andrey Aleksandrovich</t>
  </si>
  <si>
    <t>доктор</t>
  </si>
  <si>
    <t>Federal State Budgetary Institution "NATIONAL MEDICAL RESEARCH CENTER NAMED AFTER ACADEMICIAN E.N. MESHALKIN</t>
  </si>
  <si>
    <t>5011 946632</t>
  </si>
  <si>
    <t>Отделом УФМС Росии по Новочибирской области в Советском районе г. Новосибирска</t>
  </si>
  <si>
    <t>Department of the Federal Migration Service of Russia in the Novosibirsk region in the Soviet district of the city of Novosibirsk</t>
  </si>
  <si>
    <t>540813951202</t>
  </si>
  <si>
    <t>008-901-255-34</t>
  </si>
  <si>
    <t xml:space="preserve">г. Новосибирск, ул. Вахтангова 3А, кв.217 </t>
  </si>
  <si>
    <t>Novosibirsk, st. Vakhtangov 3A, apt. 217</t>
  </si>
  <si>
    <t>89139268922</t>
  </si>
  <si>
    <t>40817810230244004722</t>
  </si>
  <si>
    <t>Филиал № 5440 Банка ВТБ ПАО</t>
  </si>
  <si>
    <t>Назаров Руслан Владимирович</t>
  </si>
  <si>
    <t>Nazarov Ruslan Vladimirovich</t>
  </si>
  <si>
    <t>Заведующий отделением анестезиологии и реанимации</t>
  </si>
  <si>
    <t>Head of the Department of Anesthesiology and Resuscitation</t>
  </si>
  <si>
    <t>Российский научно-исследовательский институт нейрохирургии им. А. Л. Поленова</t>
  </si>
  <si>
    <t>Russian Research Institute of Neurosurgery. A.L. Polenova</t>
  </si>
  <si>
    <t>4003 132539</t>
  </si>
  <si>
    <t>44 отделом милиции Приморского района г. Санкт-Петербурга</t>
  </si>
  <si>
    <t>44 police department of Primorsky district of St. Petersburg</t>
  </si>
  <si>
    <t>05.11.2002</t>
  </si>
  <si>
    <t>781405069997</t>
  </si>
  <si>
    <t>050-664-715-49</t>
  </si>
  <si>
    <t>г. Санкт-Петербург, ул. Есенина, дом 1, корп. 1, кв. 440</t>
  </si>
  <si>
    <t>St. Petersburg, st. Yesenin, house 1, bldg. 1, apt. 440</t>
  </si>
  <si>
    <t>89219085228</t>
  </si>
  <si>
    <t>40817810755031921044</t>
  </si>
  <si>
    <t>Северо-Западный Банк ПАО Сбербанк г. Санкт-Петербург</t>
  </si>
  <si>
    <t>North-West Bank PAO Sberbank St. Petersburg</t>
  </si>
  <si>
    <t xml:space="preserve">Сокольникова Татьяна Артуровна </t>
  </si>
  <si>
    <t>Sokolnikova Tatyana Arturovna</t>
  </si>
  <si>
    <t>Федеральное государственное бюджетное учреждение «НАЦИОНАЛЬНЫЙ МЕДИЦИНСКИЙ ИССЛЕДОВАТЕЛЬСКИЙ ЦЕНТР ИМЕНИ АКАДЕМИКА Е.Н. МЕШАЛКИНА»</t>
  </si>
  <si>
    <t>5011 863472</t>
  </si>
  <si>
    <t>Отделом УФМС Росии по Новосибирской области в Дзержинском районе г. Новосибирска</t>
  </si>
  <si>
    <t>Department of the Federal Migration Service of Russia in the Novosibirsk region in the Dzerzhinsky district of the city of Novosibirsk</t>
  </si>
  <si>
    <t>540117286978</t>
  </si>
  <si>
    <t>024-509-673-44</t>
  </si>
  <si>
    <t>г. Новосибирск, ул. Есенина 63, кв. 48</t>
  </si>
  <si>
    <t>Novosibirsk, st. Yesenin 63, apt. 48</t>
  </si>
  <si>
    <t>89039347743</t>
  </si>
  <si>
    <t>40817810530244000044</t>
  </si>
  <si>
    <t>Примечание</t>
  </si>
  <si>
    <t>Обратите внимани, что в двцх формах (Обоснование договора и Расчет суммы) необходимо дозаполнить поля вручную (выделены желтым)</t>
  </si>
  <si>
    <t>Отделением по району Тимирязевский ОУФМС России по г. Москве в САО</t>
  </si>
  <si>
    <t>Otdeleniem po raionu Timiriazevskii OUFMS Rossii in Moscow SAO</t>
  </si>
  <si>
    <t>Akselrod Boris Albertovich</t>
  </si>
  <si>
    <t>Department of the Federal Migration Service of Russia in Moscow by area Airport</t>
  </si>
  <si>
    <t xml:space="preserve">3 police department on the management of internal affairs of Podolsk </t>
  </si>
  <si>
    <t>OVD"Cheremushki" Moscow</t>
  </si>
  <si>
    <t xml:space="preserve">ФИЛИАЛ АО КБ "СИТИБАНК" В Г.САНКТ-ПЕТЕРБУРГЕ </t>
  </si>
  <si>
    <t>BRANCH AO KB "CITIBANK" IN G. SAINT-PETERSBURG</t>
  </si>
  <si>
    <t>PJSC Sberbank of Russia</t>
  </si>
  <si>
    <t>Department of the Federal Migration Service of Russia in Moscow in the Moskvorechye-Saburovo district</t>
  </si>
  <si>
    <t xml:space="preserve">Moscow Sberbank of Russia </t>
  </si>
  <si>
    <t>Tulskoe otdelenie №8604 PJSC Sberbank of Russia g. Tula</t>
  </si>
  <si>
    <t>Otdeleniem po raionu Babushkinskii OUFMS Rossii  in Moscow v SVAO</t>
  </si>
  <si>
    <t>01-03-2012</t>
  </si>
  <si>
    <t>Рей Сергей Игоревич</t>
  </si>
  <si>
    <t>Rei Sergei Igorevich</t>
  </si>
  <si>
    <t>Старший научный сотрудник</t>
  </si>
  <si>
    <t>Senior Researcher</t>
  </si>
  <si>
    <t>Научно-исследовательский институт им. Н.В. Склифосовского</t>
  </si>
  <si>
    <t>Research Institute named after N.V. Sklifosovsky</t>
  </si>
  <si>
    <t>4514 507193</t>
  </si>
  <si>
    <t>Отделением УФМС России по гор. Москве по району Ховрино</t>
  </si>
  <si>
    <t>Department of the Federal Migration Service of Russia in the city of Moscow in the Khovrino district</t>
  </si>
  <si>
    <t>19.06.2014</t>
  </si>
  <si>
    <t>771206664635</t>
  </si>
  <si>
    <t>026-064-332-20</t>
  </si>
  <si>
    <t>г. Москва, ул. Клинская, дом 10, корп. 2, кв. 128</t>
  </si>
  <si>
    <t>Moscow, st. Klinskaya, Building 10/2, apt. 128</t>
  </si>
  <si>
    <t>89166001362</t>
  </si>
  <si>
    <t>30232810700002000004</t>
  </si>
  <si>
    <t>Филиал «Центральный» Банка ВТБ (ПАО) в г. Москве
Назначение платежа: Рей С.И. № карты: 4652 0602 7305 3238</t>
  </si>
  <si>
    <t>Branch "Central" Bank VTB (PJSC) in Moscow
Purpose of payment: Ray S.I. Card No: 4652 0602 7305 3238</t>
  </si>
  <si>
    <t xml:space="preserve">30101810145250000411 </t>
  </si>
  <si>
    <t>044525411</t>
  </si>
  <si>
    <t>01-08-2011</t>
  </si>
  <si>
    <t>Цветков Денис Сергеевич</t>
  </si>
  <si>
    <t>Tsvetkov Denis Sergeevich</t>
  </si>
  <si>
    <t>Заместитель главного врача по медицинской части</t>
  </si>
  <si>
    <t>Deputy Chief</t>
  </si>
  <si>
    <t xml:space="preserve">ГКБ им.Юдина </t>
  </si>
  <si>
    <t>City Hospital n.b. Yudina</t>
  </si>
  <si>
    <t>4508 798935</t>
  </si>
  <si>
    <t>The Department of Internal Affairs of the Khamovniki District of the Internal Affairs Directorate of the Central Administrative District of Moscow</t>
  </si>
  <si>
    <t>26-12-2006</t>
  </si>
  <si>
    <t>770405899365</t>
  </si>
  <si>
    <t>013-038-491-06</t>
  </si>
  <si>
    <t>г. Москва, Саввинская набережная, дом 19, кв. 14</t>
  </si>
  <si>
    <t>Moscow, Savvinskaya embankment, house 19, apt. 14</t>
  </si>
  <si>
    <t>8 916 680 70 13</t>
  </si>
  <si>
    <t>40817810101000540201</t>
  </si>
  <si>
    <t>AO RAYFFAYZENBANK Moscow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</si>
</sst>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9"/>
      <color indexed="81"/>
      <name val="Tahoma"/>
      <family val="2"/>
      <charset val="204"/>
    </font>
    <font>
      <b/>
      <sz val="9"/>
      <color indexed="81"/>
      <name val="Tahoma"/>
      <family val="2"/>
      <charset val="204"/>
    </font>
    <font>
      <b/>
      <sz val="11"/>
      <color theme="3"/>
      <name val="Calibri"/>
      <family val="2"/>
      <charset val="204"/>
      <scheme val="minor"/>
    </font>
    <font>
      <sz val="11"/>
      <color theme="3" tint="0.79998168889431442"/>
      <name val="Calibri"/>
      <family val="2"/>
      <scheme val="minor"/>
    </font>
    <font>
      <sz val="10"/>
      <color theme="1"/>
      <name val="Calibri"/>
      <family val="2"/>
      <scheme val="minor"/>
    </font>
    <font>
      <b/>
      <sz val="10"/>
      <color theme="3"/>
      <name val="Calibri"/>
      <family val="2"/>
      <scheme val="minor"/>
    </font>
    <font>
      <sz val="10"/>
      <color theme="3" tint="0.79998168889431442"/>
      <name val="Calibri"/>
      <family val="2"/>
      <scheme val="minor"/>
    </font>
    <font>
      <b/>
      <sz val="11"/>
      <color theme="3"/>
      <name val="Calibri"/>
      <family val="2"/>
      <scheme val="minor"/>
    </font>
    <font>
      <sz val="10"/>
      <color rgb="FF000000"/>
      <name val="Calibri"/>
      <family val="2"/>
      <charset val="204"/>
    </font>
    <font>
      <sz val="10"/>
      <color theme="3" tint="0.39997558519241921"/>
      <name val="Calibri"/>
      <family val="2"/>
      <scheme val="minor"/>
    </font>
    <font>
      <sz val="11"/>
      <color theme="3" tint="0.39997558519241921"/>
      <name val="Calibri"/>
      <family val="2"/>
      <scheme val="minor"/>
    </font>
    <font>
      <b/>
      <sz val="11"/>
      <color theme="1"/>
      <name val="Calibri"/>
      <family val="2"/>
      <charset val="204"/>
      <scheme val="minor"/>
    </font>
    <font>
      <sz val="9"/>
      <color theme="1"/>
      <name val="Calibri"/>
      <family val="2"/>
      <charset val="204"/>
      <scheme val="minor"/>
    </font>
    <font>
      <sz val="9"/>
      <color theme="1"/>
      <name val="Calibri"/>
      <family val="2"/>
      <scheme val="minor"/>
    </font>
    <font>
      <sz val="12"/>
      <color theme="1"/>
      <name val="Calibri"/>
      <family val="2"/>
      <scheme val="minor"/>
    </font>
    <font>
      <sz val="11"/>
      <color theme="0" tint="-4.9989318521683403E-2"/>
      <name val="Calibri"/>
      <family val="2"/>
      <scheme val="minor"/>
    </font>
    <font>
      <sz val="8"/>
      <color theme="3"/>
      <name val="Calibri"/>
      <family val="2"/>
      <charset val="204"/>
      <scheme val="minor"/>
    </font>
    <font>
      <sz val="10"/>
      <color theme="3"/>
      <name val="Calibri"/>
      <family val="2"/>
      <scheme val="minor"/>
    </font>
    <font>
      <sz val="11"/>
      <color rgb="FFFF0000"/>
      <name val="Calibri"/>
      <family val="2"/>
      <scheme val="minor"/>
    </font>
  </fonts>
  <fills count="9">
    <fill>
      <patternFill patternType="none"/>
    </fill>
    <fill>
      <patternFill patternType="gray125"/>
    </fill>
    <fill>
      <patternFill patternType="solid">
        <fgColor theme="4" tint="0.79998168889431442"/>
        <bgColor indexed="65"/>
      </patternFill>
    </fill>
    <fill>
      <patternFill patternType="solid">
        <fgColor theme="7" tint="0.7999816888943144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rgb="FFFFFF00"/>
        <bgColor indexed="64"/>
      </patternFill>
    </fill>
  </fills>
  <borders count="8">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diagonalDown="1">
      <left style="thin">
        <color auto="1"/>
      </left>
      <right style="thin">
        <color auto="1"/>
      </right>
      <top style="thin">
        <color auto="1"/>
      </top>
      <bottom style="thin">
        <color auto="1"/>
      </bottom>
      <diagonal style="thin">
        <color auto="1"/>
      </diagonal>
    </border>
    <border>
      <left style="thin">
        <color indexed="64"/>
      </left>
      <right style="thin">
        <color indexed="64"/>
      </right>
      <top/>
      <bottom/>
      <diagonal/>
    </border>
  </borders>
  <cellStyleXfs count="3">
    <xf numFmtId="0" fontId="0" fillId="0" borderId="0"/>
    <xf numFmtId="0" fontId="8" fillId="0" borderId="1" applyNumberFormat="0" applyFill="0" applyAlignment="0" applyProtection="0"/>
    <xf numFmtId="0" fontId="5" fillId="2" borderId="0" applyNumberFormat="0" applyBorder="0" applyAlignment="0" applyProtection="0"/>
  </cellStyleXfs>
  <cellXfs count="65">
    <xf numFmtId="0" fontId="0" fillId="0" borderId="0" xfId="0"/>
    <xf numFmtId="0" fontId="9" fillId="0" borderId="0" xfId="0" applyFont="1"/>
    <xf numFmtId="0" fontId="10" fillId="0" borderId="0" xfId="0" applyFont="1"/>
    <xf numFmtId="0" fontId="12" fillId="0" borderId="0" xfId="0" applyFont="1"/>
    <xf numFmtId="0" fontId="10" fillId="0" borderId="0" xfId="0" applyFont="1" applyAlignment="1">
      <alignment wrapText="1"/>
    </xf>
    <xf numFmtId="0" fontId="13" fillId="0" borderId="2" xfId="1" applyFont="1" applyBorder="1" applyAlignment="1">
      <alignment wrapText="1"/>
    </xf>
    <xf numFmtId="0" fontId="13" fillId="0" borderId="2" xfId="1" applyFont="1" applyBorder="1" applyAlignment="1">
      <alignment vertical="center" wrapText="1"/>
    </xf>
    <xf numFmtId="0" fontId="13" fillId="0" borderId="2" xfId="1" applyFont="1" applyBorder="1" applyAlignment="1">
      <alignment horizontal="center" vertical="center" wrapText="1"/>
    </xf>
    <xf numFmtId="0" fontId="11" fillId="0" borderId="2" xfId="1" applyFont="1" applyBorder="1" applyAlignment="1">
      <alignment vertical="center" wrapText="1"/>
    </xf>
    <xf numFmtId="0" fontId="9" fillId="0" borderId="0" xfId="0" applyFont="1" applyAlignment="1">
      <alignment wrapText="1"/>
    </xf>
    <xf numFmtId="0" fontId="15" fillId="0" borderId="0" xfId="0" applyFont="1"/>
    <xf numFmtId="0" fontId="16" fillId="0" borderId="0" xfId="0" applyFont="1"/>
    <xf numFmtId="0" fontId="16" fillId="0" borderId="0" xfId="0" applyFont="1" applyAlignment="1">
      <alignment wrapText="1"/>
    </xf>
    <xf numFmtId="49" fontId="0" fillId="0" borderId="0" xfId="0" applyNumberFormat="1"/>
    <xf numFmtId="0" fontId="1" fillId="2" borderId="2" xfId="2" applyNumberFormat="1" applyFont="1" applyBorder="1" applyAlignment="1" applyProtection="1">
      <alignment horizontal="center" wrapText="1"/>
      <protection locked="0"/>
    </xf>
    <xf numFmtId="14" fontId="0" fillId="0" borderId="0" xfId="0" applyNumberFormat="1"/>
    <xf numFmtId="0" fontId="0" fillId="0" borderId="0" xfId="0" applyAlignment="1">
      <alignment horizontal="center" vertical="top"/>
    </xf>
    <xf numFmtId="0" fontId="0" fillId="0" borderId="0" xfId="0" applyAlignment="1">
      <alignment wrapText="1"/>
    </xf>
    <xf numFmtId="0" fontId="0" fillId="0" borderId="0" xfId="0" applyAlignment="1">
      <alignment horizontal="left" vertical="top"/>
    </xf>
    <xf numFmtId="0" fontId="17" fillId="3" borderId="6" xfId="0" applyFont="1" applyFill="1" applyBorder="1" applyAlignment="1">
      <alignment horizontal="left" vertical="center" wrapText="1"/>
    </xf>
    <xf numFmtId="3" fontId="0" fillId="0" borderId="2" xfId="0" applyNumberFormat="1" applyBorder="1" applyAlignment="1">
      <alignment horizontal="center" vertical="center"/>
    </xf>
    <xf numFmtId="0" fontId="0" fillId="4" borderId="2" xfId="0" applyFill="1" applyBorder="1" applyAlignment="1">
      <alignment horizontal="center" vertical="center"/>
    </xf>
    <xf numFmtId="49" fontId="0" fillId="0" borderId="0" xfId="0" applyNumberFormat="1" applyAlignment="1">
      <alignment horizontal="center" vertical="top"/>
    </xf>
    <xf numFmtId="0" fontId="0" fillId="0" borderId="0" xfId="0" applyAlignment="1">
      <alignment horizontal="left" vertical="top" wrapText="1"/>
    </xf>
    <xf numFmtId="0" fontId="0" fillId="0" borderId="3" xfId="0" applyBorder="1" applyAlignment="1">
      <alignment horizontal="left" vertical="top"/>
    </xf>
    <xf numFmtId="0" fontId="0" fillId="0" borderId="7" xfId="0" applyBorder="1" applyAlignment="1">
      <alignment horizontal="left" vertical="top"/>
    </xf>
    <xf numFmtId="0" fontId="0" fillId="0" borderId="4" xfId="0" applyBorder="1" applyAlignment="1">
      <alignment horizontal="left" vertical="top"/>
    </xf>
    <xf numFmtId="3" fontId="0" fillId="0" borderId="0" xfId="0" applyNumberFormat="1" applyBorder="1" applyAlignment="1">
      <alignment horizontal="left" vertical="center"/>
    </xf>
    <xf numFmtId="0" fontId="0" fillId="0" borderId="0" xfId="0" applyBorder="1" applyAlignment="1">
      <alignment horizontal="left" wrapText="1"/>
    </xf>
    <xf numFmtId="0" fontId="0" fillId="0" borderId="0" xfId="0" applyNumberFormat="1"/>
    <xf numFmtId="0" fontId="1" fillId="0" borderId="0" xfId="0" applyFont="1" applyAlignment="1">
      <alignment vertical="center"/>
    </xf>
    <xf numFmtId="0" fontId="1" fillId="2" borderId="5" xfId="2" quotePrefix="1" applyNumberFormat="1" applyFont="1" applyBorder="1" applyAlignment="1" applyProtection="1">
      <alignment horizontal="center" wrapText="1"/>
      <protection locked="0"/>
    </xf>
    <xf numFmtId="0" fontId="11" fillId="0" borderId="2" xfId="1" applyNumberFormat="1" applyFont="1" applyBorder="1" applyAlignment="1">
      <alignment wrapText="1"/>
    </xf>
    <xf numFmtId="0" fontId="11" fillId="0" borderId="2" xfId="1" applyNumberFormat="1" applyFont="1" applyBorder="1" applyAlignment="1">
      <alignment horizontal="justify" vertical="center" wrapText="1"/>
    </xf>
    <xf numFmtId="0" fontId="18" fillId="2" borderId="2" xfId="2" applyFont="1" applyBorder="1" applyAlignment="1" applyProtection="1">
      <alignment horizontal="left" vertical="top" wrapText="1" shrinkToFit="1"/>
      <protection locked="0"/>
    </xf>
    <xf numFmtId="0" fontId="19" fillId="0" borderId="0" xfId="0" applyFont="1"/>
    <xf numFmtId="0" fontId="20" fillId="0" borderId="0" xfId="0" applyFont="1" applyBorder="1" applyAlignment="1">
      <alignment horizontal="right"/>
    </xf>
    <xf numFmtId="0" fontId="21" fillId="0" borderId="0" xfId="0" applyFont="1"/>
    <xf numFmtId="0" fontId="17" fillId="0" borderId="0" xfId="0" applyFont="1"/>
    <xf numFmtId="0" fontId="0" fillId="5" borderId="0" xfId="0" applyFill="1" applyProtection="1">
      <protection locked="0"/>
    </xf>
    <xf numFmtId="0" fontId="11" fillId="0" borderId="2" xfId="1" applyFont="1" applyBorder="1" applyAlignment="1" applyProtection="1">
      <alignment wrapText="1"/>
    </xf>
    <xf numFmtId="0" fontId="0" fillId="0" borderId="0" xfId="0" applyProtection="1"/>
    <xf numFmtId="0" fontId="11" fillId="0" borderId="2" xfId="1" applyFont="1" applyBorder="1" applyAlignment="1" applyProtection="1">
      <alignment horizontal="justify" vertical="center" wrapText="1"/>
    </xf>
    <xf numFmtId="3" fontId="17" fillId="0" borderId="0" xfId="0" applyNumberFormat="1" applyFont="1" applyBorder="1" applyAlignment="1">
      <alignment horizontal="left" vertical="center"/>
    </xf>
    <xf numFmtId="0" fontId="0" fillId="0" borderId="0" xfId="0" applyAlignment="1" applyProtection="1">
      <alignment horizontal="left"/>
    </xf>
    <xf numFmtId="0" fontId="18" fillId="6" borderId="2" xfId="2" applyFont="1" applyFill="1" applyBorder="1" applyAlignment="1" applyProtection="1">
      <alignment horizontal="left" vertical="top" wrapText="1" shrinkToFit="1"/>
    </xf>
    <xf numFmtId="0" fontId="1" fillId="6" borderId="2" xfId="2" applyNumberFormat="1" applyFont="1" applyFill="1" applyBorder="1" applyAlignment="1" applyProtection="1">
      <alignment horizontal="left" wrapText="1"/>
    </xf>
    <xf numFmtId="0" fontId="1" fillId="6" borderId="5" xfId="2" quotePrefix="1" applyNumberFormat="1" applyFont="1" applyFill="1" applyBorder="1" applyAlignment="1" applyProtection="1">
      <alignment horizontal="left" wrapText="1"/>
    </xf>
    <xf numFmtId="0" fontId="1" fillId="6" borderId="5" xfId="2" applyNumberFormat="1" applyFont="1" applyFill="1" applyBorder="1" applyAlignment="1" applyProtection="1">
      <alignment horizontal="left" wrapText="1"/>
    </xf>
    <xf numFmtId="0" fontId="3" fillId="6" borderId="2" xfId="2" applyNumberFormat="1" applyFont="1" applyFill="1" applyBorder="1" applyAlignment="1" applyProtection="1">
      <alignment horizontal="left" wrapText="1"/>
    </xf>
    <xf numFmtId="0" fontId="4" fillId="6" borderId="2" xfId="2" applyNumberFormat="1" applyFont="1" applyFill="1" applyBorder="1" applyAlignment="1" applyProtection="1">
      <alignment horizontal="left" wrapText="1"/>
    </xf>
    <xf numFmtId="0" fontId="5" fillId="6" borderId="2" xfId="2" applyNumberFormat="1" applyFill="1" applyBorder="1" applyAlignment="1" applyProtection="1">
      <alignment horizontal="left" wrapText="1"/>
    </xf>
    <xf numFmtId="14" fontId="5" fillId="6" borderId="2" xfId="2" applyNumberFormat="1" applyFill="1" applyBorder="1" applyAlignment="1" applyProtection="1">
      <alignment horizontal="left" wrapText="1"/>
    </xf>
    <xf numFmtId="0" fontId="2" fillId="6" borderId="2" xfId="2" applyNumberFormat="1" applyFont="1" applyFill="1" applyBorder="1" applyAlignment="1" applyProtection="1">
      <alignment horizontal="left" wrapText="1"/>
    </xf>
    <xf numFmtId="0" fontId="18" fillId="6" borderId="2" xfId="2" applyFont="1" applyFill="1" applyBorder="1" applyAlignment="1" applyProtection="1">
      <alignment horizontal="left" vertical="top" wrapText="1"/>
    </xf>
    <xf numFmtId="0" fontId="23" fillId="0" borderId="0" xfId="0" applyFont="1" applyAlignment="1">
      <alignment horizontal="right"/>
    </xf>
    <xf numFmtId="2" fontId="19" fillId="0" borderId="0" xfId="0" applyNumberFormat="1" applyFont="1" applyAlignment="1">
      <alignment horizontal="left"/>
    </xf>
    <xf numFmtId="0" fontId="11" fillId="0" borderId="2" xfId="1" applyFont="1" applyBorder="1" applyAlignment="1">
      <alignment horizontal="center" vertical="center" wrapText="1"/>
    </xf>
    <xf numFmtId="0" fontId="24" fillId="0" borderId="0" xfId="0" applyFont="1"/>
    <xf numFmtId="0" fontId="0" fillId="8" borderId="0" xfId="0" applyFill="1"/>
    <xf numFmtId="14" fontId="3" fillId="2" borderId="3" xfId="2" applyNumberFormat="1" applyFont="1" applyBorder="1" applyAlignment="1" applyProtection="1">
      <alignment horizontal="center" vertical="center" wrapText="1" shrinkToFit="1"/>
      <protection locked="0"/>
    </xf>
    <xf numFmtId="14" fontId="3" fillId="2" borderId="4" xfId="2" applyNumberFormat="1" applyFont="1" applyBorder="1" applyAlignment="1" applyProtection="1">
      <alignment horizontal="center" vertical="center" wrapText="1" shrinkToFit="1"/>
      <protection locked="0"/>
    </xf>
    <xf numFmtId="1" fontId="3" fillId="6" borderId="2" xfId="2" applyNumberFormat="1" applyFont="1" applyFill="1" applyBorder="1" applyAlignment="1" applyProtection="1">
      <alignment horizontal="center" vertical="center" wrapText="1" shrinkToFit="1"/>
    </xf>
    <xf numFmtId="0" fontId="0" fillId="0" borderId="2" xfId="0" applyBorder="1" applyAlignment="1">
      <alignment horizontal="center" vertical="center"/>
    </xf>
    <xf numFmtId="0" fontId="0" fillId="7" borderId="2" xfId="0" applyFill="1" applyBorder="1" applyAlignment="1" applyProtection="1">
      <alignment horizontal="center" vertical="center"/>
      <protection locked="0"/>
    </xf>
  </cellXfs>
  <cellStyles count="3">
    <cellStyle name="20% — акцент1" xfId="2" builtinId="30"/>
    <cellStyle name="Заголовок 3" xfId="1" builtinId="18"/>
    <cellStyle name="Обычный" xfId="0" builtinId="0"/>
  </cellStyles>
  <dxfs count="2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19" formatCode="dd/mm/yyyy"/>
    </dxf>
    <dxf>
      <numFmt numFmtId="30" formatCode="@"/>
    </dxf>
    <dxf>
      <numFmt numFmtId="30" formatCode="@"/>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76200</xdr:colOff>
      <xdr:row>1</xdr:row>
      <xdr:rowOff>57150</xdr:rowOff>
    </xdr:from>
    <xdr:to>
      <xdr:col>9</xdr:col>
      <xdr:colOff>237648</xdr:colOff>
      <xdr:row>4</xdr:row>
      <xdr:rowOff>57079</xdr:rowOff>
    </xdr:to>
    <xdr:pic>
      <xdr:nvPicPr>
        <xdr:cNvPr id="2" name="Рисунок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905000" y="247650"/>
          <a:ext cx="3819048" cy="571429"/>
        </a:xfrm>
        <a:prstGeom prst="rect">
          <a:avLst/>
        </a:prstGeom>
      </xdr:spPr>
    </xdr:pic>
    <xdr:clientData/>
  </xdr:twoCellAnchor>
  <xdr:twoCellAnchor editAs="oneCell">
    <xdr:from>
      <xdr:col>0</xdr:col>
      <xdr:colOff>0</xdr:colOff>
      <xdr:row>11</xdr:row>
      <xdr:rowOff>0</xdr:rowOff>
    </xdr:from>
    <xdr:to>
      <xdr:col>18</xdr:col>
      <xdr:colOff>417676</xdr:colOff>
      <xdr:row>14</xdr:row>
      <xdr:rowOff>133262</xdr:rowOff>
    </xdr:to>
    <xdr:pic>
      <xdr:nvPicPr>
        <xdr:cNvPr id="3" name="Рисунок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0" y="1905000"/>
          <a:ext cx="11390476" cy="704762"/>
        </a:xfrm>
        <a:prstGeom prst="rect">
          <a:avLst/>
        </a:prstGeom>
      </xdr:spPr>
    </xdr:pic>
    <xdr:clientData/>
  </xdr:twoCellAnchor>
  <xdr:twoCellAnchor editAs="oneCell">
    <xdr:from>
      <xdr:col>0</xdr:col>
      <xdr:colOff>0</xdr:colOff>
      <xdr:row>18</xdr:row>
      <xdr:rowOff>0</xdr:rowOff>
    </xdr:from>
    <xdr:to>
      <xdr:col>15</xdr:col>
      <xdr:colOff>303619</xdr:colOff>
      <xdr:row>22</xdr:row>
      <xdr:rowOff>47524</xdr:rowOff>
    </xdr:to>
    <xdr:pic>
      <xdr:nvPicPr>
        <xdr:cNvPr id="4" name="Рисунок 4">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0" y="3238500"/>
          <a:ext cx="9447619" cy="809524"/>
        </a:xfrm>
        <a:prstGeom prst="rect">
          <a:avLst/>
        </a:prstGeom>
      </xdr:spPr>
    </xdr:pic>
    <xdr:clientData/>
  </xdr:twoCellAnchor>
  <xdr:twoCellAnchor editAs="oneCell">
    <xdr:from>
      <xdr:col>0</xdr:col>
      <xdr:colOff>0</xdr:colOff>
      <xdr:row>25</xdr:row>
      <xdr:rowOff>0</xdr:rowOff>
    </xdr:from>
    <xdr:to>
      <xdr:col>7</xdr:col>
      <xdr:colOff>56609</xdr:colOff>
      <xdr:row>38</xdr:row>
      <xdr:rowOff>94929</xdr:rowOff>
    </xdr:to>
    <xdr:pic>
      <xdr:nvPicPr>
        <xdr:cNvPr id="5" name="Рисунок 5">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0" y="4572000"/>
          <a:ext cx="4323809" cy="2571429"/>
        </a:xfrm>
        <a:prstGeom prst="rect">
          <a:avLst/>
        </a:prstGeom>
      </xdr:spPr>
    </xdr:pic>
    <xdr:clientData/>
  </xdr:twoCellAnchor>
  <xdr:twoCellAnchor editAs="oneCell">
    <xdr:from>
      <xdr:col>0</xdr:col>
      <xdr:colOff>0</xdr:colOff>
      <xdr:row>41</xdr:row>
      <xdr:rowOff>0</xdr:rowOff>
    </xdr:from>
    <xdr:to>
      <xdr:col>9</xdr:col>
      <xdr:colOff>408838</xdr:colOff>
      <xdr:row>42</xdr:row>
      <xdr:rowOff>190452</xdr:rowOff>
    </xdr:to>
    <xdr:pic>
      <xdr:nvPicPr>
        <xdr:cNvPr id="6" name="Рисунок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0" y="7620000"/>
          <a:ext cx="5895238" cy="380952"/>
        </a:xfrm>
        <a:prstGeom prst="rect">
          <a:avLst/>
        </a:prstGeom>
      </xdr:spPr>
    </xdr:pic>
    <xdr:clientData/>
  </xdr:twoCellAnchor>
  <xdr:twoCellAnchor editAs="oneCell">
    <xdr:from>
      <xdr:col>0</xdr:col>
      <xdr:colOff>0</xdr:colOff>
      <xdr:row>46</xdr:row>
      <xdr:rowOff>0</xdr:rowOff>
    </xdr:from>
    <xdr:to>
      <xdr:col>3</xdr:col>
      <xdr:colOff>133105</xdr:colOff>
      <xdr:row>48</xdr:row>
      <xdr:rowOff>142810</xdr:rowOff>
    </xdr:to>
    <xdr:pic>
      <xdr:nvPicPr>
        <xdr:cNvPr id="7" name="Рисунок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a:stretch>
          <a:fillRect/>
        </a:stretch>
      </xdr:blipFill>
      <xdr:spPr>
        <a:xfrm>
          <a:off x="0" y="8763000"/>
          <a:ext cx="1961905" cy="523810"/>
        </a:xfrm>
        <a:prstGeom prst="rect">
          <a:avLst/>
        </a:prstGeom>
      </xdr:spPr>
    </xdr:pic>
    <xdr:clientData/>
  </xdr:twoCellAnchor>
  <xdr:twoCellAnchor editAs="oneCell">
    <xdr:from>
      <xdr:col>0</xdr:col>
      <xdr:colOff>0</xdr:colOff>
      <xdr:row>51</xdr:row>
      <xdr:rowOff>0</xdr:rowOff>
    </xdr:from>
    <xdr:to>
      <xdr:col>1</xdr:col>
      <xdr:colOff>495162</xdr:colOff>
      <xdr:row>54</xdr:row>
      <xdr:rowOff>114214</xdr:rowOff>
    </xdr:to>
    <xdr:pic>
      <xdr:nvPicPr>
        <xdr:cNvPr id="8" name="Рисунок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0" y="9715500"/>
          <a:ext cx="1104762"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2171700</xdr:colOff>
          <xdr:row>2</xdr:row>
          <xdr:rowOff>38100</xdr:rowOff>
        </xdr:from>
        <xdr:to>
          <xdr:col>3</xdr:col>
          <xdr:colOff>2895600</xdr:colOff>
          <xdr:row>2</xdr:row>
          <xdr:rowOff>257175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Договор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2</xdr:row>
          <xdr:rowOff>47625</xdr:rowOff>
        </xdr:from>
        <xdr:to>
          <xdr:col>3</xdr:col>
          <xdr:colOff>1200150</xdr:colOff>
          <xdr:row>2</xdr:row>
          <xdr:rowOff>266700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Обоснование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1209675</xdr:colOff>
          <xdr:row>2</xdr:row>
          <xdr:rowOff>47625</xdr:rowOff>
        </xdr:from>
        <xdr:to>
          <xdr:col>3</xdr:col>
          <xdr:colOff>2095500</xdr:colOff>
          <xdr:row>2</xdr:row>
          <xdr:rowOff>266700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Расчет суммы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1457325</xdr:colOff>
          <xdr:row>2</xdr:row>
          <xdr:rowOff>47625</xdr:rowOff>
        </xdr:from>
        <xdr:to>
          <xdr:col>4</xdr:col>
          <xdr:colOff>2181225</xdr:colOff>
          <xdr:row>2</xdr:row>
          <xdr:rowOff>257175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Смета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609600</xdr:colOff>
          <xdr:row>2</xdr:row>
          <xdr:rowOff>47625</xdr:rowOff>
        </xdr:from>
        <xdr:to>
          <xdr:col>4</xdr:col>
          <xdr:colOff>1390650</xdr:colOff>
          <xdr:row>2</xdr:row>
          <xdr:rowOff>266700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Приложения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3114675</xdr:colOff>
          <xdr:row>2</xdr:row>
          <xdr:rowOff>38100</xdr:rowOff>
        </xdr:from>
        <xdr:to>
          <xdr:col>4</xdr:col>
          <xdr:colOff>523875</xdr:colOff>
          <xdr:row>2</xdr:row>
          <xdr:rowOff>257175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Акты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190500</xdr:rowOff>
        </xdr:from>
        <xdr:to>
          <xdr:col>2</xdr:col>
          <xdr:colOff>171450</xdr:colOff>
          <xdr:row>2</xdr:row>
          <xdr:rowOff>190500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Очистить таблицу услуг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809625</xdr:colOff>
          <xdr:row>0</xdr:row>
          <xdr:rowOff>19050</xdr:rowOff>
        </xdr:from>
        <xdr:to>
          <xdr:col>5</xdr:col>
          <xdr:colOff>2514600</xdr:colOff>
          <xdr:row>1</xdr:row>
          <xdr:rowOff>161925</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Calibri"/>
                </a:rPr>
                <a:t>Открыть папку с документами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57150</xdr:rowOff>
        </xdr:from>
        <xdr:to>
          <xdr:col>2</xdr:col>
          <xdr:colOff>314325</xdr:colOff>
          <xdr:row>4</xdr:row>
          <xdr:rowOff>171450</xdr:rowOff>
        </xdr:to>
        <xdr:sp macro="" textlink="">
          <xdr:nvSpPr>
            <xdr:cNvPr id="5121" name="template_act"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304800</xdr:colOff>
          <xdr:row>14</xdr:row>
          <xdr:rowOff>114300</xdr:rowOff>
        </xdr:to>
        <xdr:sp macro="" textlink="">
          <xdr:nvSpPr>
            <xdr:cNvPr id="5123" name="template_prilozhenie"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2</xdr:col>
          <xdr:colOff>304800</xdr:colOff>
          <xdr:row>19</xdr:row>
          <xdr:rowOff>114300</xdr:rowOff>
        </xdr:to>
        <xdr:sp macro="" textlink="">
          <xdr:nvSpPr>
            <xdr:cNvPr id="5124" name="template_raschet"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504825</xdr:colOff>
          <xdr:row>31</xdr:row>
          <xdr:rowOff>76200</xdr:rowOff>
        </xdr:to>
        <xdr:sp macro="" textlink="">
          <xdr:nvSpPr>
            <xdr:cNvPr id="5126" name="template_smeta"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28575</xdr:rowOff>
        </xdr:from>
        <xdr:to>
          <xdr:col>2</xdr:col>
          <xdr:colOff>304800</xdr:colOff>
          <xdr:row>25</xdr:row>
          <xdr:rowOff>38100</xdr:rowOff>
        </xdr:to>
        <xdr:sp macro="" textlink="">
          <xdr:nvSpPr>
            <xdr:cNvPr id="5127" name="template_obosnovanie"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304800</xdr:colOff>
          <xdr:row>9</xdr:row>
          <xdr:rowOff>114300</xdr:rowOff>
        </xdr:to>
        <xdr:sp macro="" textlink="">
          <xdr:nvSpPr>
            <xdr:cNvPr id="5130" name="template_dogovor"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s/Grants/&#1064;&#1072;&#1073;&#1083;&#1086;&#1085;%20&#1076;&#1083;&#1103;%20&#1092;&#1086;&#1088;&#1084;&#1080;&#1088;&#1086;&#1074;&#1072;&#1085;&#1080;&#1103;%20&#1076;&#1086;&#1082;&#1091;&#1084;&#1077;&#1085;&#1090;&#1086;&#1074;%20&#1085;&#1072;%20&#1075;&#1088;&#1072;&#1085;&#1090;/1&#1060;&#1086;&#1088;&#1084;&#1072;%20&#1076;&#1083;&#1103;%20&#1079;&#1072;&#1087;&#1086;&#1083;&#1085;&#1077;&#1085;&#1080;&#11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струкция"/>
      <sheetName val="Форма"/>
      <sheetName val="Лекторы"/>
      <sheetName val="Выпадающие списки"/>
    </sheetNames>
    <sheetDataSet>
      <sheetData sheetId="0" refreshError="1"/>
      <sheetData sheetId="1">
        <row r="5">
          <cell r="D5" t="str">
            <v>Лекция на конференции</v>
          </cell>
          <cell r="J5">
            <v>25000</v>
          </cell>
        </row>
        <row r="7">
          <cell r="D7" t="str">
            <v>Создание Приложения, вебсайта, Онлайн модуля для обучения</v>
          </cell>
          <cell r="J7">
            <v>35000</v>
          </cell>
        </row>
        <row r="9">
          <cell r="D9" t="str">
            <v>Обработка карт пациентов</v>
          </cell>
          <cell r="J9">
            <v>19039.999999999996</v>
          </cell>
        </row>
        <row r="11">
          <cell r="D11" t="str">
            <v>Председательство/модерирование на конгрессе/конференции</v>
          </cell>
          <cell r="J11">
            <v>25000</v>
          </cell>
        </row>
        <row r="13">
          <cell r="D13" t="str">
            <v>Председательство/модерирование на конгрессе/конференции</v>
          </cell>
          <cell r="J13">
            <v>25000</v>
          </cell>
        </row>
        <row r="15">
          <cell r="D15" t="str">
            <v>Председательство/модерирование на конгрессе/конференции</v>
          </cell>
          <cell r="J15">
            <v>25000</v>
          </cell>
        </row>
        <row r="17">
          <cell r="D17" t="str">
            <v>Председательство/модерирование на конгрессе/конференции</v>
          </cell>
          <cell r="J17">
            <v>25000</v>
          </cell>
        </row>
        <row r="19">
          <cell r="D19" t="str">
            <v>Председательство/модерирование на конгрессе/конференции</v>
          </cell>
          <cell r="J19">
            <v>25000</v>
          </cell>
        </row>
        <row r="21">
          <cell r="D21" t="str">
            <v>Председательство/модерирование на конгрессе/конференции</v>
          </cell>
          <cell r="J21">
            <v>25000</v>
          </cell>
        </row>
        <row r="23">
          <cell r="D23" t="str">
            <v>Обработка карт пациентов</v>
          </cell>
          <cell r="J23">
            <v>10471.999999999998</v>
          </cell>
        </row>
        <row r="33">
          <cell r="F33" t="str">
            <v>Regional</v>
          </cell>
        </row>
      </sheetData>
      <sheetData sheetId="2">
        <row r="2">
          <cell r="B2" t="str">
            <v>Агавелян Эрик Гарникович</v>
          </cell>
        </row>
        <row r="3">
          <cell r="B3" t="str">
            <v>Агеенко Александр Михайлович</v>
          </cell>
        </row>
        <row r="4">
          <cell r="B4" t="str">
            <v>Аксельрод Борис Альбертович</v>
          </cell>
        </row>
        <row r="5">
          <cell r="B5" t="str">
            <v>Александрович Юрий Станиславович</v>
          </cell>
        </row>
        <row r="6">
          <cell r="B6" t="str">
            <v>Амдиев Алим Анварович</v>
          </cell>
        </row>
        <row r="7">
          <cell r="B7" t="str">
            <v>Андреева Татьяна Андреевна</v>
          </cell>
        </row>
        <row r="8">
          <cell r="B8" t="str">
            <v>Андрусев Антон Михайлович</v>
          </cell>
        </row>
        <row r="9">
          <cell r="B9" t="str">
            <v>Антонов Сергей Викторович</v>
          </cell>
        </row>
        <row r="10">
          <cell r="B10" t="str">
            <v>Артёмов Дмитрий Владимирович</v>
          </cell>
        </row>
        <row r="11">
          <cell r="B11" t="str">
            <v>Асланян Карапет Суренович</v>
          </cell>
        </row>
        <row r="12">
          <cell r="B12" t="str">
            <v>Афончиков Вячеслав Сергеевич</v>
          </cell>
        </row>
        <row r="13">
          <cell r="B13" t="str">
            <v>Бабаянц Андрей Валерьевич</v>
          </cell>
        </row>
        <row r="14">
          <cell r="B14" t="str">
            <v>Баскаков Данил Сергеевич</v>
          </cell>
        </row>
        <row r="15">
          <cell r="B15" t="str">
            <v>Баутин Андрей Евгеньевич</v>
          </cell>
        </row>
        <row r="16">
          <cell r="B16" t="str">
            <v>Башарова Елена Валерьевна</v>
          </cell>
        </row>
        <row r="17">
          <cell r="B17" t="str">
            <v>Баютина Софья Алексеевна</v>
          </cell>
        </row>
        <row r="18">
          <cell r="B18" t="str">
            <v>Баялиева Айнагуль Жолдошевна</v>
          </cell>
        </row>
        <row r="19">
          <cell r="B19" t="str">
            <v>Бгане Нальбий Меджидович</v>
          </cell>
        </row>
        <row r="20">
          <cell r="B20" t="str">
            <v>Беженарь Виталий Федорович</v>
          </cell>
        </row>
        <row r="21">
          <cell r="B21" t="str">
            <v>Бельский Владислав Александрович</v>
          </cell>
        </row>
        <row r="22">
          <cell r="B22" t="str">
            <v>Беляев Кирилл Юрьевич</v>
          </cell>
        </row>
        <row r="23">
          <cell r="B23" t="str">
            <v>Беляева Светлана Сергеевна</v>
          </cell>
        </row>
        <row r="24">
          <cell r="B24" t="str">
            <v>Бережанский Борис Витальевич</v>
          </cell>
        </row>
        <row r="25">
          <cell r="B25" t="str">
            <v>Бичурин Рамазан Амирович</v>
          </cell>
        </row>
        <row r="26">
          <cell r="B26" t="str">
            <v>Близнов Александр Анатольевич</v>
          </cell>
        </row>
        <row r="27">
          <cell r="B27" t="str">
            <v>Блинкова Любовь Николаевна</v>
          </cell>
        </row>
        <row r="28">
          <cell r="B28" t="str">
            <v>Бобовник Сергей Викторович</v>
          </cell>
        </row>
        <row r="29">
          <cell r="B29" t="str">
            <v>Бовкун Игорь Викторович</v>
          </cell>
        </row>
        <row r="30">
          <cell r="B30" t="str">
            <v>Бомбин Дмитрий Александрович</v>
          </cell>
        </row>
        <row r="31">
          <cell r="B31" t="str">
            <v>Бражников Анатолий Юрьевич</v>
          </cell>
        </row>
        <row r="32">
          <cell r="B32" t="str">
            <v>Буланов Андрей Юльевич</v>
          </cell>
        </row>
        <row r="33">
          <cell r="B33" t="str">
            <v>Булиева Наталья Борисовна</v>
          </cell>
        </row>
        <row r="34">
          <cell r="B34" t="str">
            <v>Вартанов Владимир Яковлевич</v>
          </cell>
        </row>
        <row r="35">
          <cell r="B35" t="str">
            <v>Варфоломеева Светлана Рафаэлевна</v>
          </cell>
        </row>
        <row r="36">
          <cell r="B36" t="str">
            <v>Васильев Ярослав Иванович</v>
          </cell>
        </row>
        <row r="37">
          <cell r="B37" t="str">
            <v>Ватазин Андрей Владимирович</v>
          </cell>
        </row>
        <row r="38">
          <cell r="B38" t="str">
            <v>Ватутин Сергей Николаевич</v>
          </cell>
        </row>
        <row r="39">
          <cell r="B39" t="str">
            <v>Вдовин Владимир Викторович</v>
          </cell>
        </row>
        <row r="40">
          <cell r="B40" t="str">
            <v>Ветчинникова Ольга Николаевна</v>
          </cell>
        </row>
        <row r="41">
          <cell r="B41" t="str">
            <v>Виноградова Мария Алексеевна</v>
          </cell>
        </row>
        <row r="42">
          <cell r="B42" t="str">
            <v>Волкова Светлана Александровна</v>
          </cell>
        </row>
        <row r="43">
          <cell r="B43" t="str">
            <v>Воробьева Надежда Александровна</v>
          </cell>
        </row>
        <row r="44">
          <cell r="B44" t="str">
            <v>Гаврилин Сергей Викторович</v>
          </cell>
        </row>
        <row r="45">
          <cell r="B45" t="str">
            <v>Гаврилова Елена Геннадьевна</v>
          </cell>
        </row>
        <row r="46">
          <cell r="B46" t="str">
            <v>Гайдук Ирина Федоровна</v>
          </cell>
        </row>
        <row r="47">
          <cell r="B47" t="str">
            <v>Галстян Геннадий Мартинович</v>
          </cell>
        </row>
        <row r="48">
          <cell r="B48" t="str">
            <v>Гарбузов Евгений Юльевич</v>
          </cell>
        </row>
        <row r="49">
          <cell r="B49" t="str">
            <v>Герасименко Оксана Николаевна</v>
          </cell>
        </row>
        <row r="50">
          <cell r="B50" t="str">
            <v>Герасимчук Роман Павлович</v>
          </cell>
        </row>
        <row r="51">
          <cell r="B51" t="str">
            <v>Глущенко Владимир Анатольевич</v>
          </cell>
        </row>
        <row r="52">
          <cell r="B52" t="str">
            <v>Голосов Юрий Михайлович</v>
          </cell>
        </row>
        <row r="53">
          <cell r="B53" t="str">
            <v>Голощапов Олег Валерьевич</v>
          </cell>
        </row>
        <row r="54">
          <cell r="B54" t="str">
            <v>Горелова Елена Анатольевна</v>
          </cell>
        </row>
        <row r="55">
          <cell r="B55" t="str">
            <v>Горобец Евгений Соломонович</v>
          </cell>
        </row>
        <row r="56">
          <cell r="B56" t="str">
            <v>Гороховатский Юрий Иванович</v>
          </cell>
        </row>
        <row r="57">
          <cell r="B57" t="str">
            <v>Гороховский Вадим Семенович</v>
          </cell>
        </row>
        <row r="58">
          <cell r="B58" t="str">
            <v>Грибовская Наталья Владимировна</v>
          </cell>
        </row>
        <row r="59">
          <cell r="B59" t="str">
            <v>Григорьев Евгений Валерьевич</v>
          </cell>
        </row>
        <row r="60">
          <cell r="B60" t="str">
            <v>Григорьева Наталья Александровна</v>
          </cell>
        </row>
        <row r="61">
          <cell r="B61" t="str">
            <v>Грицай Людмила Николаевна</v>
          </cell>
        </row>
        <row r="62">
          <cell r="B62" t="str">
            <v>Грицан Алексей Иванович</v>
          </cell>
        </row>
        <row r="63">
          <cell r="B63" t="str">
            <v>Губайдуллин Ренат Рамилевич</v>
          </cell>
        </row>
        <row r="64">
          <cell r="B64" t="str">
            <v>Губкин Игорь Михайлович</v>
          </cell>
        </row>
        <row r="65">
          <cell r="B65" t="str">
            <v>Гуреев Антон Дмитриевич</v>
          </cell>
        </row>
        <row r="66">
          <cell r="B66" t="str">
            <v>Гусаров Виталий Геннадьевич</v>
          </cell>
        </row>
        <row r="67">
          <cell r="B67" t="str">
            <v>Давыдкин Игорь Леонидович</v>
          </cell>
        </row>
        <row r="68">
          <cell r="B68" t="str">
            <v>Данилец Виолетта Вячеславовна</v>
          </cell>
        </row>
        <row r="69">
          <cell r="B69" t="str">
            <v>Демин Петр Михайлович</v>
          </cell>
        </row>
        <row r="70">
          <cell r="B70" t="str">
            <v>Дёмина Татьяна Борисовна</v>
          </cell>
        </row>
        <row r="71">
          <cell r="B71" t="str">
            <v>Добродеев Антон Сергеевич</v>
          </cell>
        </row>
        <row r="72">
          <cell r="B72" t="str">
            <v>Дробинская Алла Николаевна</v>
          </cell>
        </row>
        <row r="73">
          <cell r="B73" t="str">
            <v>Дубинин Андрей Анатольевич</v>
          </cell>
        </row>
        <row r="74">
          <cell r="B74" t="str">
            <v>Дубов Сергей Константинович</v>
          </cell>
        </row>
        <row r="75">
          <cell r="B75" t="str">
            <v>Дударь Марина Михайловна</v>
          </cell>
        </row>
        <row r="76">
          <cell r="B76" t="str">
            <v>Дьяченко Игорь Владиславович</v>
          </cell>
        </row>
        <row r="77">
          <cell r="B77" t="str">
            <v>Евдокимов Евгений Александрович</v>
          </cell>
        </row>
        <row r="78">
          <cell r="B78" t="str">
            <v>Евзерова Татьяна Вячеславовна</v>
          </cell>
        </row>
        <row r="79">
          <cell r="B79" t="str">
            <v>Евстратов Алексей Андреевич</v>
          </cell>
        </row>
        <row r="80">
          <cell r="B80" t="str">
            <v>Ежевская Анна Александровна</v>
          </cell>
        </row>
        <row r="81">
          <cell r="B81" t="str">
            <v>Езерский Дмитрий Валерьевич</v>
          </cell>
        </row>
        <row r="82">
          <cell r="B82" t="str">
            <v>Еременко Александр Анатольевич</v>
          </cell>
        </row>
        <row r="83">
          <cell r="B83" t="str">
            <v>Жарков Павел Александрович</v>
          </cell>
        </row>
        <row r="84">
          <cell r="B84" t="str">
            <v>Жарков Павел Вячеславович</v>
          </cell>
        </row>
        <row r="85">
          <cell r="B85" t="str">
            <v>Журавель Сергей Владимирович</v>
          </cell>
        </row>
        <row r="86">
          <cell r="B86" t="str">
            <v>Заварзин Алексей Юрьевич</v>
          </cell>
        </row>
        <row r="87">
          <cell r="B87" t="str">
            <v>Зайнулина Марина Сабировна</v>
          </cell>
        </row>
        <row r="88">
          <cell r="B88" t="str">
            <v>Залепухина Ольга Эрвиновна</v>
          </cell>
        </row>
        <row r="89">
          <cell r="B89" t="str">
            <v>Замятин Михаил Николаевич</v>
          </cell>
        </row>
        <row r="90">
          <cell r="B90" t="str">
            <v>Захарова Елена Викторовна</v>
          </cell>
        </row>
        <row r="91">
          <cell r="B91" t="str">
            <v>Звягин Альфред Аркадьевич</v>
          </cell>
        </row>
        <row r="92">
          <cell r="B92" t="str">
            <v>Земченков Александр Юрьевич</v>
          </cell>
        </row>
        <row r="93">
          <cell r="B93" t="str">
            <v>Зефирова Татьяна Петровна</v>
          </cell>
        </row>
        <row r="94">
          <cell r="B94" t="str">
            <v>Зозуля Надежда Ивановна</v>
          </cell>
        </row>
        <row r="95">
          <cell r="B95" t="str">
            <v>Золотухин Константин Николаевич</v>
          </cell>
        </row>
        <row r="96">
          <cell r="B96" t="str">
            <v>Зоренко Владимир Юрьевич</v>
          </cell>
        </row>
        <row r="97">
          <cell r="B97" t="str">
            <v>Иванов Владимир Вячеславович</v>
          </cell>
        </row>
        <row r="98">
          <cell r="B98" t="str">
            <v>Иванов Марат Дмитриевич</v>
          </cell>
        </row>
        <row r="99">
          <cell r="B99" t="str">
            <v>Исаков Александр Владимирович</v>
          </cell>
        </row>
        <row r="100">
          <cell r="B100" t="str">
            <v>Исачкина Алина Николаевна</v>
          </cell>
        </row>
        <row r="101">
          <cell r="B101" t="str">
            <v>Кабанцева Татьяна Анатольевна</v>
          </cell>
        </row>
        <row r="102">
          <cell r="B102" t="str">
            <v>Калинин Павел Львович</v>
          </cell>
        </row>
        <row r="103">
          <cell r="B103" t="str">
            <v>Каллагов Давид Зелихманович</v>
          </cell>
        </row>
        <row r="104">
          <cell r="B104" t="str">
            <v>Капитанов Дмитрий Николаевич</v>
          </cell>
        </row>
        <row r="105">
          <cell r="B105" t="str">
            <v>Каримов Асхат Исмагилович</v>
          </cell>
        </row>
        <row r="106">
          <cell r="B106" t="str">
            <v>Качалова Елена Георгиевна</v>
          </cell>
        </row>
        <row r="107">
          <cell r="B107" t="str">
            <v>Кашенцев Сергей Николаевич</v>
          </cell>
        </row>
        <row r="108">
          <cell r="B108" t="str">
            <v>Ким Андрей Вячеславович</v>
          </cell>
        </row>
        <row r="109">
          <cell r="B109" t="str">
            <v>Киргизов Кирилл Игоревич</v>
          </cell>
        </row>
        <row r="110">
          <cell r="B110" t="str">
            <v>Климова Нина Ивановна</v>
          </cell>
        </row>
        <row r="111">
          <cell r="B111" t="str">
            <v>Клыпа Татьяна Валерьевна</v>
          </cell>
        </row>
        <row r="112">
          <cell r="B112" t="str">
            <v>Кобиясов Владимир Аркадьевич</v>
          </cell>
        </row>
        <row r="113">
          <cell r="B113" t="str">
            <v>Козырев Александр Сергеевич</v>
          </cell>
        </row>
        <row r="114">
          <cell r="B114" t="str">
            <v>Кондратенко Ирина Вадимовна</v>
          </cell>
        </row>
        <row r="115">
          <cell r="B115" t="str">
            <v>Константинова Валерия Николаевна</v>
          </cell>
        </row>
        <row r="116">
          <cell r="B116" t="str">
            <v>Коняшина Надежда Ивановна</v>
          </cell>
        </row>
        <row r="117">
          <cell r="B117" t="str">
            <v>Копылов Константин Геннадьевич</v>
          </cell>
        </row>
        <row r="118">
          <cell r="B118" t="str">
            <v>Косачева Наталия Борисовна</v>
          </cell>
        </row>
        <row r="119">
          <cell r="B119" t="str">
            <v>Костылева Татьяна Геннадьевна</v>
          </cell>
        </row>
        <row r="120">
          <cell r="B120" t="str">
            <v>Костюченко Людмила Николаевна</v>
          </cell>
        </row>
        <row r="121">
          <cell r="B121" t="str">
            <v>Кощеева Наталья Александровна</v>
          </cell>
        </row>
        <row r="122">
          <cell r="B122" t="str">
            <v>Кравец Людмила Анатольевна</v>
          </cell>
        </row>
        <row r="123">
          <cell r="B123" t="str">
            <v>Красавцева Татьяна Николаевна</v>
          </cell>
        </row>
        <row r="124">
          <cell r="B124" t="str">
            <v>Кричевский Лев Анатольевич</v>
          </cell>
        </row>
        <row r="125">
          <cell r="B125" t="str">
            <v>Кротенко Николай Петрович</v>
          </cell>
        </row>
        <row r="126">
          <cell r="B126" t="str">
            <v>Кузнецов Сергей Владимирович</v>
          </cell>
        </row>
        <row r="127">
          <cell r="B127" t="str">
            <v>Кулабухов Владимир Витальевич</v>
          </cell>
        </row>
        <row r="128">
          <cell r="B128" t="str">
            <v>Кулешов Олег Владимирович</v>
          </cell>
        </row>
        <row r="129">
          <cell r="B129" t="str">
            <v>Кулигин Александр Валерьевич</v>
          </cell>
        </row>
        <row r="130">
          <cell r="B130" t="str">
            <v>Кумскова Мария Алексеевна</v>
          </cell>
        </row>
        <row r="131">
          <cell r="B131" t="str">
            <v>Куркина Ирина Александровна</v>
          </cell>
        </row>
        <row r="132">
          <cell r="B132" t="str">
            <v>Куртов Игорь Валентинович</v>
          </cell>
        </row>
        <row r="133">
          <cell r="B133" t="str">
            <v>Кутин Максим Александрович</v>
          </cell>
        </row>
        <row r="134">
          <cell r="B134" t="str">
            <v>Кучин Антон Александрович</v>
          </cell>
        </row>
        <row r="135">
          <cell r="B135" t="str">
            <v>Лавриченко Инна Анатольевна</v>
          </cell>
        </row>
        <row r="136">
          <cell r="B136" t="str">
            <v>Лапин Валерий Альбертович</v>
          </cell>
        </row>
        <row r="137">
          <cell r="B137" t="str">
            <v>Латышева Елена Александровна</v>
          </cell>
        </row>
        <row r="138">
          <cell r="B138" t="str">
            <v>Латышева Татьяна Васильевна</v>
          </cell>
        </row>
        <row r="139">
          <cell r="B139" t="str">
            <v>Лебедев Владимир Вениаминович</v>
          </cell>
        </row>
        <row r="140">
          <cell r="B140" t="str">
            <v>Лебедева Наталья Владимировна</v>
          </cell>
        </row>
        <row r="141">
          <cell r="B141" t="str">
            <v>Лебедева Ольга Леонидовна</v>
          </cell>
        </row>
        <row r="142">
          <cell r="B142" t="str">
            <v>Левит Александр Львович</v>
          </cell>
        </row>
        <row r="143">
          <cell r="B143" t="str">
            <v>Левит Дмитрий Александрович</v>
          </cell>
        </row>
        <row r="144">
          <cell r="B144" t="str">
            <v>Лёшина Ольга Анатольевна</v>
          </cell>
        </row>
        <row r="145">
          <cell r="B145" t="str">
            <v>Лобко Константин Николаевич</v>
          </cell>
        </row>
        <row r="146">
          <cell r="B146" t="str">
            <v>Лобов Олег Анатольевич</v>
          </cell>
        </row>
        <row r="147">
          <cell r="B147" t="str">
            <v>Ломиворотов Владимир Владимирович</v>
          </cell>
        </row>
        <row r="148">
          <cell r="B148" t="str">
            <v>Лопатин Андрей Федорович</v>
          </cell>
        </row>
        <row r="149">
          <cell r="B149" t="str">
            <v>Лоскутов Алексей Евгеньевич</v>
          </cell>
        </row>
        <row r="150">
          <cell r="B150" t="str">
            <v>Лубнин Андрей Юрьевич</v>
          </cell>
        </row>
        <row r="151">
          <cell r="B151" t="str">
            <v>Луфт Валерий Матвеевич</v>
          </cell>
        </row>
        <row r="152">
          <cell r="B152" t="str">
            <v>Любарец Петр Викторович</v>
          </cell>
        </row>
        <row r="153">
          <cell r="B153" t="str">
            <v>Любошевский Павел Александрович</v>
          </cell>
        </row>
        <row r="154">
          <cell r="B154" t="str">
            <v>Лященко Юрий Николаевич</v>
          </cell>
        </row>
        <row r="155">
          <cell r="B155" t="str">
            <v>Майстровский Кирилл Валерьевич</v>
          </cell>
        </row>
        <row r="156">
          <cell r="B156" t="str">
            <v>Макаров Андрей Анатольевич</v>
          </cell>
        </row>
        <row r="157">
          <cell r="B157" t="str">
            <v>Мансветова Екатерина Феликсовна</v>
          </cell>
        </row>
        <row r="158">
          <cell r="B158" t="str">
            <v>Маркова Инна Викторовна</v>
          </cell>
        </row>
        <row r="159">
          <cell r="B159" t="str">
            <v>Мартынов Дмитрий Викторович</v>
          </cell>
        </row>
        <row r="160">
          <cell r="B160" t="str">
            <v>Масчан Алексей Александрович</v>
          </cell>
        </row>
        <row r="161">
          <cell r="B161" t="str">
            <v>Матковский Андрей Анатольевич</v>
          </cell>
        </row>
        <row r="162">
          <cell r="B162" t="str">
            <v>Мешаков Дмитрий Петрович</v>
          </cell>
        </row>
        <row r="163">
          <cell r="B163" t="str">
            <v>Минкина Людмила Михайловна</v>
          </cell>
        </row>
        <row r="164">
          <cell r="B164" t="str">
            <v>Мирошниченко Ольга Михайловна</v>
          </cell>
        </row>
        <row r="165">
          <cell r="B165" t="str">
            <v>Михайлов Антон Валерьевич</v>
          </cell>
        </row>
        <row r="166">
          <cell r="B166" t="str">
            <v>Мишина Елена Анатольевна</v>
          </cell>
        </row>
        <row r="167">
          <cell r="B167" t="str">
            <v>Мкртумян Наира Левоновна</v>
          </cell>
        </row>
        <row r="168">
          <cell r="B168" t="str">
            <v>Молоствова Валентина Захаровна</v>
          </cell>
        </row>
        <row r="169">
          <cell r="B169" t="str">
            <v>Момот Андрей Павлович</v>
          </cell>
        </row>
        <row r="170">
          <cell r="B170" t="str">
            <v>Мощев Дмитрий Александрович</v>
          </cell>
        </row>
        <row r="171">
          <cell r="B171" t="str">
            <v>Музуров Александр Львович</v>
          </cell>
        </row>
        <row r="172">
          <cell r="B172" t="str">
            <v>Мулина Инна Ивановна</v>
          </cell>
        </row>
        <row r="173">
          <cell r="B173" t="str">
            <v>Мустафина Гульзада Нургаязовна</v>
          </cell>
        </row>
        <row r="174">
          <cell r="B174" t="str">
            <v>Мясникова Виктория Владимировна</v>
          </cell>
        </row>
        <row r="175">
          <cell r="B175" t="str">
            <v>Наливайко Владимир Евгеньевич</v>
          </cell>
        </row>
        <row r="176">
          <cell r="B176" t="str">
            <v>Недомолкин Сергей Викторович</v>
          </cell>
        </row>
        <row r="177">
          <cell r="B177" t="str">
            <v>Нехаев Игорь Владимирович</v>
          </cell>
        </row>
        <row r="178">
          <cell r="B178" t="str">
            <v>Никитин Денис Юрьевич</v>
          </cell>
        </row>
        <row r="179">
          <cell r="B179" t="str">
            <v>Николенко Андрей Валентинович</v>
          </cell>
        </row>
        <row r="180">
          <cell r="B180" t="str">
            <v>Новичкова Галина Анатольевна</v>
          </cell>
        </row>
        <row r="181">
          <cell r="B181" t="str">
            <v>Новожилова Елена Николаевна</v>
          </cell>
        </row>
        <row r="182">
          <cell r="B182" t="str">
            <v>Обухова Ольга Аркадьевна</v>
          </cell>
        </row>
        <row r="183">
          <cell r="B183" t="str">
            <v>Овезов Алексей Мурадович</v>
          </cell>
        </row>
        <row r="184">
          <cell r="B184" t="str">
            <v>Овечкин Анатолий Юрьевич</v>
          </cell>
        </row>
        <row r="185">
          <cell r="B185" t="str">
            <v>Овсянников Александр Николаевич</v>
          </cell>
        </row>
        <row r="186">
          <cell r="B186" t="str">
            <v>Орешников Евгений Витальевич</v>
          </cell>
        </row>
        <row r="187">
          <cell r="B187" t="str">
            <v>Осовских Виктор Васильевич</v>
          </cell>
        </row>
        <row r="188">
          <cell r="B188" t="str">
            <v>Пампура Александр Николаевич</v>
          </cell>
        </row>
        <row r="189">
          <cell r="B189" t="str">
            <v>Папаян Людмила Петровна</v>
          </cell>
        </row>
        <row r="190">
          <cell r="B190" t="str">
            <v>Папонов Олег Николаевич</v>
          </cell>
        </row>
        <row r="191">
          <cell r="B191" t="str">
            <v>Пасечник Игорь Николаевич</v>
          </cell>
        </row>
        <row r="192">
          <cell r="B192" t="str">
            <v>Перина Фарида Галимовна</v>
          </cell>
        </row>
        <row r="193">
          <cell r="B193" t="str">
            <v>Перов Константин Алексеевич</v>
          </cell>
        </row>
        <row r="194">
          <cell r="B194" t="str">
            <v>Петров Александр Николаевич</v>
          </cell>
        </row>
        <row r="195">
          <cell r="B195" t="str">
            <v>Петров Виктор Юрьевич</v>
          </cell>
        </row>
        <row r="196">
          <cell r="B196" t="str">
            <v>Петрова Марина Владимировна</v>
          </cell>
        </row>
        <row r="197">
          <cell r="B197" t="str">
            <v>Пичугина Инна Сергеевна</v>
          </cell>
        </row>
        <row r="198">
          <cell r="B198" t="str">
            <v>Плотников Георгий Павлович</v>
          </cell>
        </row>
        <row r="199">
          <cell r="B199" t="str">
            <v xml:space="preserve">Полтавец Александра Владимировна </v>
          </cell>
        </row>
        <row r="200">
          <cell r="B200" t="str">
            <v>Полупан Александр Александрович</v>
          </cell>
        </row>
        <row r="201">
          <cell r="B201" t="str">
            <v>Полушин Юрий Сергеевич</v>
          </cell>
        </row>
        <row r="202">
          <cell r="B202" t="str">
            <v>Полянская Татьяна Юрьевна</v>
          </cell>
        </row>
        <row r="203">
          <cell r="B203" t="str">
            <v>Попова Наталия Александровна</v>
          </cell>
        </row>
        <row r="204">
          <cell r="B204" t="str">
            <v>Попугаев Константин Александрович</v>
          </cell>
        </row>
        <row r="205">
          <cell r="B205" t="str">
            <v>Поспелова Татьяна Ивановна</v>
          </cell>
        </row>
        <row r="206">
          <cell r="B206" t="str">
            <v>Прасолов Николай Васильевич</v>
          </cell>
        </row>
        <row r="207">
          <cell r="B207" t="str">
            <v>Прелоус Ирина Николаевна</v>
          </cell>
        </row>
        <row r="208">
          <cell r="B208" t="str">
            <v>Продеус Андрей Петрович</v>
          </cell>
        </row>
        <row r="209">
          <cell r="B209" t="str">
            <v>Проценко Денис Николаевич</v>
          </cell>
        </row>
        <row r="210">
          <cell r="B210" t="str">
            <v>Пырегов Алексей Викторович</v>
          </cell>
        </row>
        <row r="211">
          <cell r="B211" t="str">
            <v>Розенко Дмитрий Александрович</v>
          </cell>
        </row>
        <row r="212">
          <cell r="B212" t="str">
            <v>Ройтман Евгений Витальевич</v>
          </cell>
        </row>
        <row r="213">
          <cell r="B213" t="str">
            <v>Рубинчик Вадим Ефимович</v>
          </cell>
        </row>
        <row r="214">
          <cell r="B214" t="str">
            <v>Руда Михаил Яковлевич</v>
          </cell>
        </row>
        <row r="215">
          <cell r="B215" t="str">
            <v>Руксин Виктор Викторович</v>
          </cell>
        </row>
        <row r="216">
          <cell r="B216" t="str">
            <v>Румянцев Александр Григорьевич</v>
          </cell>
        </row>
        <row r="217">
          <cell r="B217" t="str">
            <v>Румянцев Александр Львович</v>
          </cell>
        </row>
        <row r="218">
          <cell r="B218" t="str">
            <v>Рыбка Михаил Михайлович</v>
          </cell>
        </row>
        <row r="219">
          <cell r="B219" t="str">
            <v>Рык Алла Александровна</v>
          </cell>
        </row>
        <row r="220">
          <cell r="B220" t="str">
            <v>Рыскаль Ольга Владимировна</v>
          </cell>
        </row>
        <row r="221">
          <cell r="B221" t="str">
            <v>Рязанова Оксана Владимировна</v>
          </cell>
        </row>
        <row r="222">
          <cell r="B222" t="str">
            <v>Саввина Ирина Александровна</v>
          </cell>
        </row>
        <row r="223">
          <cell r="B223" t="str">
            <v>Саврилова Алсу Мухарямовна</v>
          </cell>
        </row>
        <row r="224">
          <cell r="B224" t="str">
            <v>Салихова Карина Александровна</v>
          </cell>
        </row>
        <row r="225">
          <cell r="B225" t="str">
            <v>Сампиев Магомет Султанович</v>
          </cell>
        </row>
        <row r="226">
          <cell r="B226" t="str">
            <v>Самсонова Наталия Николаевна</v>
          </cell>
        </row>
        <row r="227">
          <cell r="B227" t="str">
            <v>Самсонова Наталия Николаевна</v>
          </cell>
        </row>
        <row r="228">
          <cell r="B228" t="str">
            <v>Сараева Наталья Орестовна</v>
          </cell>
        </row>
        <row r="229">
          <cell r="B229" t="str">
            <v>Сафуанова Гузяль Шагбановна</v>
          </cell>
        </row>
        <row r="230">
          <cell r="B230" t="str">
            <v>Свиридов Сергей Викторович</v>
          </cell>
        </row>
        <row r="231">
          <cell r="B231" t="str">
            <v>Свирин Павел Вячеславович</v>
          </cell>
        </row>
        <row r="232">
          <cell r="B232" t="str">
            <v>Селиванов Дмитрий Борисович</v>
          </cell>
        </row>
        <row r="233">
          <cell r="B233" t="str">
            <v>Селютин Александр Алексеевич</v>
          </cell>
        </row>
        <row r="234">
          <cell r="B234" t="str">
            <v>Сизов Вадим Андреевич</v>
          </cell>
        </row>
        <row r="235">
          <cell r="B235" t="str">
            <v>Синьков Сергей Васильевич</v>
          </cell>
        </row>
        <row r="236">
          <cell r="B236" t="str">
            <v>Ситкин Сергей Иванович</v>
          </cell>
        </row>
        <row r="237">
          <cell r="B237" t="str">
            <v>Скобелев Евгений Иванович</v>
          </cell>
        </row>
        <row r="238">
          <cell r="B238" t="str">
            <v>Скобин Владимир Борисович</v>
          </cell>
        </row>
        <row r="239">
          <cell r="B239" t="str">
            <v>Слепушкин Виталий Дмитриевич</v>
          </cell>
        </row>
        <row r="240">
          <cell r="B240" t="str">
            <v>Смелянская Мария Геннадьевна</v>
          </cell>
        </row>
        <row r="241">
          <cell r="B241" t="str">
            <v>Смирнова Ольга Анатольевна</v>
          </cell>
        </row>
        <row r="242">
          <cell r="B242" t="str">
            <v>Смоляков Александр Александрович</v>
          </cell>
        </row>
        <row r="243">
          <cell r="B243" t="str">
            <v>Соколов Дмитрий Васильевич</v>
          </cell>
        </row>
        <row r="244">
          <cell r="B244" t="str">
            <v>Солдатенков Виталий Евгеньевич</v>
          </cell>
        </row>
        <row r="245">
          <cell r="B245" t="str">
            <v>Соловьева Надежда Валентиновна</v>
          </cell>
        </row>
        <row r="246">
          <cell r="B246" t="str">
            <v>Срапян Рафик Араратович</v>
          </cell>
        </row>
        <row r="247">
          <cell r="B247" t="str">
            <v>Стадлер Владимир Владимирович</v>
          </cell>
        </row>
        <row r="248">
          <cell r="B248" t="str">
            <v>Строгонов Алексей Игоревич</v>
          </cell>
        </row>
        <row r="249">
          <cell r="B249" t="str">
            <v>Струков Егор Юрьевич</v>
          </cell>
        </row>
        <row r="250">
          <cell r="B250" t="str">
            <v>Ступак Вячеслав Владимирович</v>
          </cell>
        </row>
        <row r="251">
          <cell r="B251" t="str">
            <v>Субботин Валерий Вячеславович</v>
          </cell>
        </row>
        <row r="252">
          <cell r="B252" t="str">
            <v>Судаков Анатолий Георгиевич</v>
          </cell>
        </row>
        <row r="253">
          <cell r="B253" t="str">
            <v>Сурьянинова Ольга Васильевна</v>
          </cell>
        </row>
        <row r="254">
          <cell r="B254" t="str">
            <v>Суслов Владимир Прокопьевич</v>
          </cell>
        </row>
        <row r="255">
          <cell r="B255" t="str">
            <v>Сухов Владимир Александрович</v>
          </cell>
        </row>
        <row r="256">
          <cell r="B256" t="str">
            <v>Сытов Александр Викторович</v>
          </cell>
        </row>
        <row r="257">
          <cell r="B257" t="str">
            <v>Сычева Татьяна Михайловна</v>
          </cell>
        </row>
        <row r="258">
          <cell r="B258" t="str">
            <v>Тверитнев Павел Михайлович</v>
          </cell>
        </row>
        <row r="259">
          <cell r="B259" t="str">
            <v>Теплых Борис Анатольевич</v>
          </cell>
        </row>
        <row r="260">
          <cell r="B260" t="str">
            <v>Тесля Валерий Владимирович</v>
          </cell>
        </row>
        <row r="261">
          <cell r="B261" t="str">
            <v>Тимербаев Владимир Хамидович</v>
          </cell>
        </row>
        <row r="262">
          <cell r="B262" t="str">
            <v>Толкачев Олег Вячеславович</v>
          </cell>
        </row>
        <row r="263">
          <cell r="B263" t="str">
            <v>Трощанский Дмитрий Витальевич</v>
          </cell>
        </row>
        <row r="264">
          <cell r="B264" t="str">
            <v>Тузанкина Ирина Александровна</v>
          </cell>
        </row>
        <row r="265">
          <cell r="B265" t="str">
            <v>Турчанинов Александр Юрьевич</v>
          </cell>
        </row>
        <row r="266">
          <cell r="B266" t="str">
            <v>Фаткуллин Ильдар Фаридович</v>
          </cell>
        </row>
        <row r="267">
          <cell r="B267" t="str">
            <v>Федорова Татьяна Анатольевна</v>
          </cell>
        </row>
        <row r="268">
          <cell r="B268" t="str">
            <v>Фисун Алексей Михайлович</v>
          </cell>
        </row>
        <row r="269">
          <cell r="B269" t="str">
            <v>Фишер Василий Владимирович</v>
          </cell>
        </row>
        <row r="270">
          <cell r="B270" t="str">
            <v>Хабаров Виктор Александрович</v>
          </cell>
        </row>
        <row r="271">
          <cell r="B271" t="str">
            <v>Халиков Азам Джауланович</v>
          </cell>
        </row>
        <row r="272">
          <cell r="B272" t="str">
            <v>Хотеев Андрей Жанович</v>
          </cell>
        </row>
        <row r="273">
          <cell r="B273" t="str">
            <v>Хряпа Александр Александрович</v>
          </cell>
        </row>
        <row r="274">
          <cell r="B274" t="str">
            <v>Цховребов Михаил Зурабович</v>
          </cell>
        </row>
        <row r="275">
          <cell r="B275" t="str">
            <v>Чернышева Наталья Николаевна</v>
          </cell>
        </row>
        <row r="276">
          <cell r="B276" t="str">
            <v>Чуприн Сергей Вячеславович</v>
          </cell>
        </row>
        <row r="277">
          <cell r="B277" t="str">
            <v>Шавкин Алексей Львович</v>
          </cell>
        </row>
        <row r="278">
          <cell r="B278" t="str">
            <v>Шамрай Владимир Степанович</v>
          </cell>
        </row>
        <row r="279">
          <cell r="B279" t="str">
            <v>Шанина Лилия Владимировна</v>
          </cell>
        </row>
        <row r="280">
          <cell r="B280" t="str">
            <v>Шахова Ольга Владимировна</v>
          </cell>
        </row>
        <row r="281">
          <cell r="B281" t="str">
            <v>Шеина Ирина Александровна</v>
          </cell>
        </row>
        <row r="282">
          <cell r="B282" t="str">
            <v>Шелудько Кирилл Федорович</v>
          </cell>
        </row>
        <row r="283">
          <cell r="B283" t="str">
            <v>Шеметова Мария Михайловна</v>
          </cell>
        </row>
        <row r="284">
          <cell r="B284" t="str">
            <v>Шень Наталья Петровна</v>
          </cell>
        </row>
        <row r="285">
          <cell r="B285" t="str">
            <v>Шерстнев Андрей Владимирович</v>
          </cell>
        </row>
        <row r="286">
          <cell r="B286" t="str">
            <v>Шестаков Евгений Андреевич</v>
          </cell>
        </row>
        <row r="287">
          <cell r="B287" t="str">
            <v>Шестопалов Александр Ефимович</v>
          </cell>
        </row>
        <row r="288">
          <cell r="B288" t="str">
            <v>Шибкова Куралай Жанкбаевна</v>
          </cell>
        </row>
        <row r="289">
          <cell r="B289" t="str">
            <v>Шибкова Куралай Жанкбаевна</v>
          </cell>
        </row>
        <row r="290">
          <cell r="B290" t="str">
            <v>Шибкова Куралай Жанкбаевна</v>
          </cell>
        </row>
        <row r="291">
          <cell r="B291" t="str">
            <v>Шиганов Михаил Юрьевич</v>
          </cell>
        </row>
        <row r="292">
          <cell r="B292" t="str">
            <v>Шиллер Екатерина Эдуардовна</v>
          </cell>
        </row>
        <row r="293">
          <cell r="B293" t="str">
            <v>Шилова Анна Николаевна</v>
          </cell>
        </row>
        <row r="294">
          <cell r="B294" t="str">
            <v>Шин Александр Радионович</v>
          </cell>
        </row>
        <row r="295">
          <cell r="B295" t="str">
            <v>Шифман Ефим Муневич</v>
          </cell>
        </row>
        <row r="296">
          <cell r="B296" t="str">
            <v>Шкрябунова Виктория Валерьевна</v>
          </cell>
        </row>
        <row r="297">
          <cell r="B297" t="str">
            <v>Шмелев Вадим Валентинович</v>
          </cell>
        </row>
        <row r="298">
          <cell r="B298" t="str">
            <v>Шомахов Анзор Анатольевич</v>
          </cell>
        </row>
        <row r="299">
          <cell r="B299" t="str">
            <v>Шпанер Роман Яковлевич</v>
          </cell>
        </row>
        <row r="300">
          <cell r="B300" t="str">
            <v>Шукевич Дмитрий Леонидович</v>
          </cell>
        </row>
        <row r="301">
          <cell r="B301" t="str">
            <v>Шулутко Елена Марковна</v>
          </cell>
        </row>
        <row r="302">
          <cell r="B302" t="str">
            <v>Шутов Евгений Викторович</v>
          </cell>
        </row>
        <row r="303">
          <cell r="B303" t="str">
            <v>Шутылев Антон Аркадьевич</v>
          </cell>
        </row>
        <row r="304">
          <cell r="B304" t="str">
            <v>Щербина Анна Юрьевна</v>
          </cell>
        </row>
        <row r="305">
          <cell r="B305" t="str">
            <v>Щукин Владислав Владимирович</v>
          </cell>
        </row>
        <row r="306">
          <cell r="B306" t="str">
            <v>Яворовский Андрей Георгиевич</v>
          </cell>
        </row>
        <row r="307">
          <cell r="B307" t="str">
            <v>Якупов Искандер Файрузович</v>
          </cell>
        </row>
        <row r="308">
          <cell r="B308" t="str">
            <v>Ямгуров Дмитрий Рифгатович</v>
          </cell>
        </row>
        <row r="309">
          <cell r="B309" t="str">
            <v>Янковская Евгения Викторовна</v>
          </cell>
        </row>
        <row r="310">
          <cell r="B310" t="str">
            <v>Ясакова Зимани Зенкирхановна</v>
          </cell>
        </row>
        <row r="311">
          <cell r="B311" t="str">
            <v>Ястребов Михаил Александрович</v>
          </cell>
        </row>
      </sheetData>
      <sheetData sheetId="3">
        <row r="3">
          <cell r="A3" t="str">
            <v>Лекция на конференции</v>
          </cell>
        </row>
        <row r="4">
          <cell r="A4" t="str">
            <v>Лекция на круглом столе</v>
          </cell>
        </row>
        <row r="5">
          <cell r="A5" t="str">
            <v>Прочие мероприятия (лекция в ЛПУ/офисе Бакстер)</v>
          </cell>
        </row>
        <row r="6">
          <cell r="A6" t="str">
            <v>Председательство/модерирование на конгрессе/конференции</v>
          </cell>
        </row>
        <row r="7">
          <cell r="A7" t="str">
            <v>Лекция+ председательство/модерирование на конгрессе/конференции</v>
          </cell>
        </row>
        <row r="8">
          <cell r="A8" t="str">
            <v>Проведение мастер-класса</v>
          </cell>
        </row>
        <row r="9">
          <cell r="A9" t="str">
            <v>Модерирование на круглом столе</v>
          </cell>
        </row>
        <row r="10">
          <cell r="A10" t="str">
            <v>Лекция + Модерирование на круглом столе</v>
          </cell>
        </row>
        <row r="11">
          <cell r="A11" t="str">
            <v>Участие в Совете Экспертов</v>
          </cell>
        </row>
        <row r="12">
          <cell r="A12" t="str">
            <v>Выступление на постерной сессии</v>
          </cell>
        </row>
        <row r="13">
          <cell r="A13" t="str">
            <v>Разбор клинического случая</v>
          </cell>
        </row>
        <row r="14">
          <cell r="A14" t="str">
            <v>Создание Монографии по продукту</v>
          </cell>
        </row>
        <row r="15">
          <cell r="A15" t="str">
            <v>Создание Приложения, вебсайта, Онлайн модуля для обучения</v>
          </cell>
        </row>
        <row r="16">
          <cell r="A16" t="str">
            <v>Маркетиноговое исследование (участие в опросе)</v>
          </cell>
        </row>
        <row r="17">
          <cell r="A17" t="str">
            <v>Обработка карт пациентов</v>
          </cell>
        </row>
      </sheetData>
    </sheetDataSet>
  </externalBook>
</externalLink>
</file>

<file path=xl/queryTables/queryTable1.xml><?xml version="1.0" encoding="utf-8"?>
<queryTable xmlns="http://schemas.openxmlformats.org/spreadsheetml/2006/main" name="ExternalData_1" refreshOnLoad="1" connectionId="1" autoFormatId="16" applyNumberFormats="0" applyBorderFormats="0" applyFontFormats="0" applyPatternFormats="0" applyAlignmentFormats="0" applyWidthHeightFormats="0">
  <queryTableRefresh nextId="24">
    <queryTableFields count="23">
      <queryTableField id="1" name="Id" tableColumnId="24"/>
      <queryTableField id="2" name="Name" tableColumnId="2"/>
      <queryTableField id="3" name="Name1" tableColumnId="3"/>
      <queryTableField id="4" name="Rating" tableColumnId="4"/>
      <queryTableField id="5" name="Grade" tableColumnId="5"/>
      <queryTableField id="6" name="Должность" tableColumnId="6"/>
      <queryTableField id="7" name="KOL Title" tableColumnId="7"/>
      <queryTableField id="8" name="Место работы" tableColumnId="8"/>
      <queryTableField id="9" name="KOL Employer" tableColumnId="9"/>
      <queryTableField id="10" name="Паспорт" tableColumnId="10"/>
      <queryTableField id="11" name="Выдан кем" tableColumnId="11"/>
      <queryTableField id="12" name="Issued" tableColumnId="12"/>
      <queryTableField id="13" name="Выдан когда" tableColumnId="13"/>
      <queryTableField id="14" name="ИНН" tableColumnId="14"/>
      <queryTableField id="15" name="СНИЛС" tableColumnId="15"/>
      <queryTableField id="16" name="Адрес регистрации" tableColumnId="16"/>
      <queryTableField id="17" name="Address" tableColumnId="17"/>
      <queryTableField id="18" name="Телефон" tableColumnId="18"/>
      <queryTableField id="19" name="р/счет" tableColumnId="19"/>
      <queryTableField id="20" name="Банк" tableColumnId="20"/>
      <queryTableField id="21" name="Bank" tableColumnId="21"/>
      <queryTableField id="22" name="к/с банка" tableColumnId="22"/>
      <queryTableField id="23" name="БИК" tableColumnId="2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Lecturers" displayName="Lecturers" ref="A1:W314" tableType="queryTable" totalsRowShown="0">
  <autoFilter ref="A1:W314"/>
  <sortState ref="A2:W314">
    <sortCondition ref="B1:B314"/>
  </sortState>
  <tableColumns count="23">
    <tableColumn id="24" uniqueName="24" name="Id" queryTableFieldId="1" dataDxfId="22"/>
    <tableColumn id="2" uniqueName="2" name="Name" queryTableFieldId="2" dataDxfId="21"/>
    <tableColumn id="3" uniqueName="3" name="Name1" queryTableFieldId="3" dataDxfId="20"/>
    <tableColumn id="4" uniqueName="4" name="Rating" queryTableFieldId="4" dataDxfId="19"/>
    <tableColumn id="5" uniqueName="5" name="Grade" queryTableFieldId="5" dataDxfId="18"/>
    <tableColumn id="6" uniqueName="6" name="Должность" queryTableFieldId="6" dataDxfId="17"/>
    <tableColumn id="7" uniqueName="7" name="KOL Title" queryTableFieldId="7" dataDxfId="16"/>
    <tableColumn id="8" uniqueName="8" name="Место работы" queryTableFieldId="8" dataDxfId="15"/>
    <tableColumn id="9" uniqueName="9" name="KOL Employer" queryTableFieldId="9" dataDxfId="14"/>
    <tableColumn id="10" uniqueName="10" name="Паспорт" queryTableFieldId="10" dataDxfId="13"/>
    <tableColumn id="11" uniqueName="11" name="Выдан кем" queryTableFieldId="11" dataDxfId="12"/>
    <tableColumn id="12" uniqueName="12" name="Issued" queryTableFieldId="12" dataDxfId="11"/>
    <tableColumn id="13" uniqueName="13" name="Выдан когда" queryTableFieldId="13" dataDxfId="10"/>
    <tableColumn id="14" uniqueName="14" name="ИНН" queryTableFieldId="14" dataDxfId="9"/>
    <tableColumn id="15" uniqueName="15" name="СНИЛС" queryTableFieldId="15" dataDxfId="8"/>
    <tableColumn id="16" uniqueName="16" name="Адрес регистрации" queryTableFieldId="16" dataDxfId="7"/>
    <tableColumn id="17" uniqueName="17" name="Address" queryTableFieldId="17" dataDxfId="6"/>
    <tableColumn id="18" uniqueName="18" name="Телефон" queryTableFieldId="18" dataDxfId="5"/>
    <tableColumn id="19" uniqueName="19" name="р/счет" queryTableFieldId="19" dataDxfId="4"/>
    <tableColumn id="20" uniqueName="20" name="Банк" queryTableFieldId="20" dataDxfId="3"/>
    <tableColumn id="21" uniqueName="21" name="Bank" queryTableFieldId="21" dataDxfId="2"/>
    <tableColumn id="22" uniqueName="22" name="к/с банка" queryTableFieldId="22" dataDxfId="1"/>
    <tableColumn id="23" uniqueName="23" name="БИК" queryTableFieldId="23" dataDxfId="0"/>
  </tableColumns>
  <tableStyleInfo name="TableStyleMedium7"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package" Target="../embeddings/Microsoft_Word_Document2.docx"/><Relationship Id="rId13" Type="http://schemas.openxmlformats.org/officeDocument/2006/relationships/image" Target="../media/image12.emf"/><Relationship Id="rId3" Type="http://schemas.openxmlformats.org/officeDocument/2006/relationships/vmlDrawing" Target="../drawings/vmlDrawing2.vml"/><Relationship Id="rId7" Type="http://schemas.openxmlformats.org/officeDocument/2006/relationships/image" Target="../media/image9.emf"/><Relationship Id="rId12" Type="http://schemas.openxmlformats.org/officeDocument/2006/relationships/package" Target="../embeddings/Microsoft_Word_Document3.docx"/><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package" Target="../embeddings/Microsoft_Word_Document1.docx"/><Relationship Id="rId11" Type="http://schemas.openxmlformats.org/officeDocument/2006/relationships/image" Target="../media/image11.emf"/><Relationship Id="rId5" Type="http://schemas.openxmlformats.org/officeDocument/2006/relationships/image" Target="../media/image8.emf"/><Relationship Id="rId15" Type="http://schemas.openxmlformats.org/officeDocument/2006/relationships/image" Target="../media/image13.emf"/><Relationship Id="rId10" Type="http://schemas.openxmlformats.org/officeDocument/2006/relationships/package" Target="../embeddings/Microsoft_Excel_Worksheet.xlsx"/><Relationship Id="rId4" Type="http://schemas.openxmlformats.org/officeDocument/2006/relationships/package" Target="../embeddings/Microsoft_Word_Document.docx"/><Relationship Id="rId9" Type="http://schemas.openxmlformats.org/officeDocument/2006/relationships/image" Target="../media/image10.emf"/><Relationship Id="rId14" Type="http://schemas.openxmlformats.org/officeDocument/2006/relationships/package" Target="../embeddings/Microsoft_Word_Document4.docx"/></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A57"/>
  <sheetViews>
    <sheetView showGridLines="0" topLeftCell="A31" workbookViewId="0">
      <selection activeCell="K5" sqref="K5:K6"/>
    </sheetView>
  </sheetViews>
  <sheetFormatPr defaultRowHeight="15" x14ac:dyDescent="0.25"/>
  <sheetData>
    <row r="1" spans="1:1" x14ac:dyDescent="0.25">
      <c r="A1" t="s">
        <v>4146</v>
      </c>
    </row>
    <row r="7" spans="1:1" x14ac:dyDescent="0.25">
      <c r="A7" t="s">
        <v>4147</v>
      </c>
    </row>
    <row r="8" spans="1:1" x14ac:dyDescent="0.25">
      <c r="A8" t="s">
        <v>4148</v>
      </c>
    </row>
    <row r="9" spans="1:1" x14ac:dyDescent="0.25">
      <c r="A9" s="58" t="s">
        <v>4149</v>
      </c>
    </row>
    <row r="10" spans="1:1" x14ac:dyDescent="0.25">
      <c r="A10" s="58" t="s">
        <v>4153</v>
      </c>
    </row>
    <row r="17" spans="1:1" x14ac:dyDescent="0.25">
      <c r="A17" t="s">
        <v>4150</v>
      </c>
    </row>
    <row r="24" spans="1:1" x14ac:dyDescent="0.25">
      <c r="A24" t="s">
        <v>4151</v>
      </c>
    </row>
    <row r="40" spans="1:1" x14ac:dyDescent="0.25">
      <c r="A40" t="s">
        <v>4152</v>
      </c>
    </row>
    <row r="45" spans="1:1" x14ac:dyDescent="0.25">
      <c r="A45" t="s">
        <v>4155</v>
      </c>
    </row>
    <row r="46" spans="1:1" x14ac:dyDescent="0.25">
      <c r="A46" t="s">
        <v>4154</v>
      </c>
    </row>
    <row r="50" spans="1:1" x14ac:dyDescent="0.25">
      <c r="A50" t="s">
        <v>4156</v>
      </c>
    </row>
    <row r="51" spans="1:1" x14ac:dyDescent="0.25">
      <c r="A51" t="s">
        <v>4157</v>
      </c>
    </row>
    <row r="56" spans="1:1" x14ac:dyDescent="0.25">
      <c r="A56" s="59" t="s">
        <v>4266</v>
      </c>
    </row>
    <row r="57" spans="1:1" x14ac:dyDescent="0.25">
      <c r="A57" t="s">
        <v>4267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39997558519241921"/>
  </sheetPr>
  <dimension ref="A1:K95"/>
  <sheetViews>
    <sheetView tabSelected="1" zoomScaleNormal="100" workbookViewId="0">
      <selection activeCell="H9" sqref="H9"/>
    </sheetView>
  </sheetViews>
  <sheetFormatPr defaultRowHeight="15" x14ac:dyDescent="0.25"/>
  <cols>
    <col min="2" max="2" width="3.28515625" customWidth="1"/>
    <col min="3" max="3" width="10.28515625" customWidth="1"/>
    <col min="4" max="4" width="50.7109375" style="2" customWidth="1"/>
    <col min="5" max="5" width="35.5703125" customWidth="1"/>
    <col min="6" max="6" width="37.85546875" customWidth="1"/>
    <col min="7" max="7" width="33.42578125" customWidth="1"/>
    <col min="8" max="8" width="24.5703125" style="4" bestFit="1" customWidth="1"/>
    <col min="9" max="9" width="24.140625" bestFit="1" customWidth="1"/>
    <col min="10" max="10" width="8.140625" customWidth="1"/>
    <col min="11" max="11" width="10.140625" customWidth="1"/>
    <col min="12" max="12" width="37.42578125" customWidth="1"/>
    <col min="13" max="13" width="32" customWidth="1"/>
    <col min="14" max="14" width="25" customWidth="1"/>
    <col min="15" max="15" width="38" customWidth="1"/>
    <col min="16" max="18" width="22.42578125" customWidth="1"/>
    <col min="19" max="19" width="13.140625" customWidth="1"/>
    <col min="20" max="20" width="14" customWidth="1"/>
    <col min="21" max="21" width="16.5703125" customWidth="1"/>
    <col min="22" max="22" width="34" customWidth="1"/>
    <col min="23" max="23" width="17.7109375" customWidth="1"/>
    <col min="24" max="24" width="21.140625" customWidth="1"/>
    <col min="25" max="25" width="27.85546875" customWidth="1"/>
    <col min="26" max="26" width="18.28515625" customWidth="1"/>
    <col min="27" max="27" width="22.42578125" customWidth="1"/>
    <col min="28" max="28" width="16.5703125" customWidth="1"/>
  </cols>
  <sheetData>
    <row r="1" spans="1:11" ht="19.5" customHeight="1" x14ac:dyDescent="0.25">
      <c r="D1" s="36" t="s">
        <v>1927</v>
      </c>
      <c r="E1" s="39" t="s">
        <v>179</v>
      </c>
      <c r="I1" s="4"/>
    </row>
    <row r="3" spans="1:11" ht="27.75" customHeight="1" x14ac:dyDescent="0.25">
      <c r="D3"/>
      <c r="H3" s="37" t="str">
        <f>ставка1 &amp; IF(ISNUMBER(ставка2),"+" &amp; ставка2,"") &amp; IF(ISNUMBER(ставка3),"+" &amp; ставка3,"") &amp; IF(ISNUMBER(ставка4),"+" &amp; ставка4,"") &amp; IF(ISNUMBER(ставка5),"+" &amp; ставка5,"") &amp; IF(ISNUMBER(ставка6),"+" &amp; ставка6,"") &amp; IF(ISNUMBER(ставка7),"+" &amp; ставка7,"") &amp; IF(ISNUMBER(ставка8),"+" &amp; ставка8,"") &amp; IF(ISNUMBER(ставка9),"+" &amp; ставка9,"") &amp; IF(ISNUMBER(ставка10),"+" &amp; ставка10,"")</f>
        <v/>
      </c>
    </row>
    <row r="4" spans="1:11" ht="35.25" customHeight="1" x14ac:dyDescent="0.25">
      <c r="B4" s="5" t="s">
        <v>10</v>
      </c>
      <c r="C4" s="7" t="s">
        <v>7</v>
      </c>
      <c r="D4" s="6" t="s">
        <v>3222</v>
      </c>
      <c r="E4" s="6" t="s">
        <v>3220</v>
      </c>
      <c r="F4" s="6" t="s">
        <v>3223</v>
      </c>
      <c r="G4" s="6" t="s">
        <v>3224</v>
      </c>
      <c r="H4" s="6" t="s">
        <v>14</v>
      </c>
      <c r="I4" s="6" t="s">
        <v>3221</v>
      </c>
      <c r="J4" s="8" t="s">
        <v>2237</v>
      </c>
      <c r="K4" s="57" t="s">
        <v>4143</v>
      </c>
    </row>
    <row r="5" spans="1:11" ht="15.75" customHeight="1" x14ac:dyDescent="0.25">
      <c r="A5" s="55" t="s">
        <v>4141</v>
      </c>
      <c r="B5" s="63">
        <v>1</v>
      </c>
      <c r="C5" s="60"/>
      <c r="D5" s="34"/>
      <c r="E5" s="34"/>
      <c r="F5" s="34"/>
      <c r="G5" s="34"/>
      <c r="H5" s="34"/>
      <c r="I5" s="54" t="str">
        <f>IFERROR(VLOOKUP(тип_услуг1,'Выпадающие списки'!A:I,8,0),"")</f>
        <v/>
      </c>
      <c r="J5" s="62" t="str">
        <f>IFERROR(IF(D5&lt;&gt;"Обработка карт пациентов",INDEX('Выпадающие списки'!$C$3:$G$17,MATCH(D5,Услуги,0),MATCH(Grade,'Выпадающие списки'!$C$2:$G$2,0)),IF(K5&gt;100*AND(Grade="City"),136*1.4*K5,136*1.2*K5)),"")</f>
        <v/>
      </c>
      <c r="K5" s="64"/>
    </row>
    <row r="6" spans="1:11" ht="15.95" customHeight="1" x14ac:dyDescent="0.25">
      <c r="A6" s="55" t="s">
        <v>4142</v>
      </c>
      <c r="B6" s="63"/>
      <c r="C6" s="61"/>
      <c r="D6" s="45" t="str">
        <f>IFERROR(INDEX('Выпадающие списки'!$B$3:$B$17,MATCH(D5,Услуги,0)),"")</f>
        <v/>
      </c>
      <c r="E6" s="34"/>
      <c r="F6" s="34"/>
      <c r="G6" s="34"/>
      <c r="H6" s="45" t="str">
        <f>_xlfn.IFNA(VLOOKUP(H5,'Выпадающие списки'!$A$21:$B$27,2,0),"")</f>
        <v/>
      </c>
      <c r="I6" s="54" t="str">
        <f>IFERROR(VLOOKUP(тип_услуг1,'Выпадающие списки'!A:I,9,0),"")</f>
        <v/>
      </c>
      <c r="J6" s="62"/>
      <c r="K6" s="64"/>
    </row>
    <row r="7" spans="1:11" ht="15.95" customHeight="1" x14ac:dyDescent="0.25">
      <c r="A7" s="55" t="s">
        <v>4141</v>
      </c>
      <c r="B7" s="63">
        <v>2</v>
      </c>
      <c r="C7" s="60"/>
      <c r="D7" s="34"/>
      <c r="E7" s="34"/>
      <c r="F7" s="34"/>
      <c r="G7" s="34"/>
      <c r="H7" s="34"/>
      <c r="I7" s="54" t="str">
        <f>IFERROR(VLOOKUP(тип_услуг2,'Выпадающие списки'!A:I,8,0),"")</f>
        <v/>
      </c>
      <c r="J7" s="62" t="str">
        <f>IFERROR(IF(D7&lt;&gt;"Обработка карт пациентов",INDEX('Выпадающие списки'!$C$3:$G$17,MATCH(D7,Услуги,0),MATCH(Grade,'Выпадающие списки'!$C$2:$G$2,0)),IF(K7&gt;100*AND(Grade="City"),136*1.4*K7,136*1.2*K7)),"")</f>
        <v/>
      </c>
      <c r="K7" s="64"/>
    </row>
    <row r="8" spans="1:11" ht="15.95" customHeight="1" x14ac:dyDescent="0.25">
      <c r="A8" s="55" t="s">
        <v>4142</v>
      </c>
      <c r="B8" s="63"/>
      <c r="C8" s="61"/>
      <c r="D8" s="45" t="str">
        <f>IFERROR(INDEX('Выпадающие списки'!$B$3:$B$17,MATCH(D7,Услуги,0)),"")</f>
        <v/>
      </c>
      <c r="E8" s="34"/>
      <c r="F8" s="34"/>
      <c r="G8" s="34"/>
      <c r="H8" s="45" t="str">
        <f>_xlfn.IFNA(VLOOKUP(H7,'Выпадающие списки'!$A$21:$B$27,2,0),"")</f>
        <v/>
      </c>
      <c r="I8" s="54" t="str">
        <f>IFERROR(VLOOKUP(тип_услуг2,'Выпадающие списки'!A:I,9,0),"")</f>
        <v/>
      </c>
      <c r="J8" s="62"/>
      <c r="K8" s="64"/>
    </row>
    <row r="9" spans="1:11" ht="15.95" customHeight="1" x14ac:dyDescent="0.25">
      <c r="A9" s="55" t="s">
        <v>4141</v>
      </c>
      <c r="B9" s="63">
        <v>3</v>
      </c>
      <c r="C9" s="60"/>
      <c r="D9" s="34"/>
      <c r="E9" s="34"/>
      <c r="F9" s="34"/>
      <c r="G9" s="34"/>
      <c r="H9" s="34"/>
      <c r="I9" s="54" t="str">
        <f>IFERROR(VLOOKUP(тип_услуг3,'Выпадающие списки'!A:I,8,0),"")</f>
        <v/>
      </c>
      <c r="J9" s="62" t="str">
        <f>IFERROR(IF(D9&lt;&gt;"Обработка карт пациентов",INDEX('Выпадающие списки'!$C$3:$G$17,MATCH(D9,Услуги,0),MATCH(Grade,'Выпадающие списки'!$C$2:$G$2,0)),IF(K9&gt;100*AND(Grade="City"),136*1.4*K9,136*1.2*K9)),"")</f>
        <v/>
      </c>
      <c r="K9" s="64"/>
    </row>
    <row r="10" spans="1:11" ht="15.95" customHeight="1" x14ac:dyDescent="0.25">
      <c r="A10" s="55" t="s">
        <v>4142</v>
      </c>
      <c r="B10" s="63"/>
      <c r="C10" s="61"/>
      <c r="D10" s="45" t="str">
        <f>IFERROR(INDEX('Выпадающие списки'!$B$3:$B$17,MATCH(D9,Услуги,0)),"")</f>
        <v/>
      </c>
      <c r="E10" s="34"/>
      <c r="F10" s="34"/>
      <c r="G10" s="34"/>
      <c r="H10" s="45" t="str">
        <f>_xlfn.IFNA(VLOOKUP(H9,'Выпадающие списки'!$A$21:$B$27,2,0),"")</f>
        <v/>
      </c>
      <c r="I10" s="54" t="str">
        <f>IFERROR(VLOOKUP(тип_услуг3,'Выпадающие списки'!A:I,9,0),"")</f>
        <v/>
      </c>
      <c r="J10" s="62"/>
      <c r="K10" s="64"/>
    </row>
    <row r="11" spans="1:11" ht="15.95" customHeight="1" x14ac:dyDescent="0.25">
      <c r="A11" s="55" t="s">
        <v>4141</v>
      </c>
      <c r="B11" s="63">
        <v>4</v>
      </c>
      <c r="C11" s="60"/>
      <c r="D11" s="34"/>
      <c r="E11" s="34"/>
      <c r="F11" s="34"/>
      <c r="G11" s="34"/>
      <c r="H11" s="34"/>
      <c r="I11" s="54" t="str">
        <f>IFERROR(VLOOKUP(тип_услуг4,'Выпадающие списки'!A:I,8,0),"")</f>
        <v/>
      </c>
      <c r="J11" s="62" t="str">
        <f>IFERROR(IF(D11&lt;&gt;"Обработка карт пациентов",INDEX('Выпадающие списки'!$C$3:$G$17,MATCH(D11,Услуги,0),MATCH(Grade,'Выпадающие списки'!$C$2:$G$2,0)),IF(K11&gt;100*AND(Grade="City"),136*1.4*K11,136*1.2*K11)),"")</f>
        <v/>
      </c>
      <c r="K11" s="64"/>
    </row>
    <row r="12" spans="1:11" ht="15.95" customHeight="1" x14ac:dyDescent="0.25">
      <c r="A12" s="55" t="s">
        <v>4142</v>
      </c>
      <c r="B12" s="63"/>
      <c r="C12" s="61"/>
      <c r="D12" s="45" t="str">
        <f>IFERROR(INDEX('Выпадающие списки'!$B$3:$B$17,MATCH(D11,Услуги,0)),"")</f>
        <v/>
      </c>
      <c r="E12" s="34"/>
      <c r="F12" s="34"/>
      <c r="G12" s="34"/>
      <c r="H12" s="45" t="str">
        <f>_xlfn.IFNA(VLOOKUP(H11,'Выпадающие списки'!$A$21:$B$27,2,0),"")</f>
        <v/>
      </c>
      <c r="I12" s="54" t="str">
        <f>IFERROR(VLOOKUP(тип_услуг4,'Выпадающие списки'!A:I,9,0),"")</f>
        <v/>
      </c>
      <c r="J12" s="62"/>
      <c r="K12" s="64"/>
    </row>
    <row r="13" spans="1:11" ht="15.95" customHeight="1" x14ac:dyDescent="0.25">
      <c r="A13" s="55" t="s">
        <v>4141</v>
      </c>
      <c r="B13" s="63">
        <v>5</v>
      </c>
      <c r="C13" s="60"/>
      <c r="D13" s="34"/>
      <c r="E13" s="34"/>
      <c r="F13" s="34"/>
      <c r="G13" s="34"/>
      <c r="H13" s="34"/>
      <c r="I13" s="54" t="str">
        <f>IFERROR(VLOOKUP(тип_услуг5,'Выпадающие списки'!A:I,8,0),"")</f>
        <v/>
      </c>
      <c r="J13" s="62" t="str">
        <f>IFERROR(IF(D13&lt;&gt;"Обработка карт пациентов",INDEX('Выпадающие списки'!$C$3:$G$17,MATCH(D13,Услуги,0),MATCH(Grade,'Выпадающие списки'!$C$2:$G$2,0)),IF(K13&gt;100*AND(Grade="City"),136*1.4*K13,136*1.2*K13)),"")</f>
        <v/>
      </c>
      <c r="K13" s="64"/>
    </row>
    <row r="14" spans="1:11" ht="15.95" customHeight="1" x14ac:dyDescent="0.25">
      <c r="A14" s="55" t="s">
        <v>4142</v>
      </c>
      <c r="B14" s="63"/>
      <c r="C14" s="61"/>
      <c r="D14" s="45" t="str">
        <f>IFERROR(INDEX('Выпадающие списки'!$B$3:$B$17,MATCH(D13,Услуги,0)),"")</f>
        <v/>
      </c>
      <c r="E14" s="34"/>
      <c r="F14" s="34"/>
      <c r="G14" s="34"/>
      <c r="H14" s="45" t="str">
        <f>_xlfn.IFNA(VLOOKUP(H13,'Выпадающие списки'!$A$21:$B$27,2,0),"")</f>
        <v/>
      </c>
      <c r="I14" s="54" t="str">
        <f>IFERROR(VLOOKUP(тип_услуг5,'Выпадающие списки'!A:I,9,0),"")</f>
        <v/>
      </c>
      <c r="J14" s="62"/>
      <c r="K14" s="64"/>
    </row>
    <row r="15" spans="1:11" ht="15.95" customHeight="1" x14ac:dyDescent="0.25">
      <c r="A15" s="55" t="s">
        <v>4141</v>
      </c>
      <c r="B15" s="63">
        <v>6</v>
      </c>
      <c r="C15" s="60"/>
      <c r="D15" s="34"/>
      <c r="E15" s="34"/>
      <c r="F15" s="34"/>
      <c r="G15" s="34"/>
      <c r="H15" s="34"/>
      <c r="I15" s="54" t="str">
        <f>IFERROR(VLOOKUP(тип_услуг6,'Выпадающие списки'!A:I,8,0),"")</f>
        <v/>
      </c>
      <c r="J15" s="62" t="str">
        <f>IFERROR(IF(D15&lt;&gt;"Обработка карт пациентов",INDEX('Выпадающие списки'!$C$3:$G$17,MATCH(D15,Услуги,0),MATCH(Grade,'Выпадающие списки'!$C$2:$G$2,0)),IF(K15&gt;100*AND(Grade="City"),136*1.4*K15,136*1.2*K15)),"")</f>
        <v/>
      </c>
      <c r="K15" s="64"/>
    </row>
    <row r="16" spans="1:11" ht="15.95" customHeight="1" x14ac:dyDescent="0.25">
      <c r="A16" s="55" t="s">
        <v>4142</v>
      </c>
      <c r="B16" s="63"/>
      <c r="C16" s="61"/>
      <c r="D16" s="45" t="str">
        <f>IFERROR(INDEX('Выпадающие списки'!$B$3:$B$17,MATCH(D15,Услуги,0)),"")</f>
        <v/>
      </c>
      <c r="E16" s="34"/>
      <c r="F16" s="34"/>
      <c r="G16" s="34"/>
      <c r="H16" s="45" t="str">
        <f>_xlfn.IFNA(VLOOKUP(H15,'Выпадающие списки'!$A$21:$B$27,2,0),"")</f>
        <v/>
      </c>
      <c r="I16" s="54" t="str">
        <f>IFERROR(VLOOKUP(тип_услуг6,'Выпадающие списки'!A:I,9,0),"")</f>
        <v/>
      </c>
      <c r="J16" s="62"/>
      <c r="K16" s="64"/>
    </row>
    <row r="17" spans="1:11" ht="15.95" customHeight="1" x14ac:dyDescent="0.25">
      <c r="A17" s="55" t="s">
        <v>4141</v>
      </c>
      <c r="B17" s="63">
        <v>7</v>
      </c>
      <c r="C17" s="60"/>
      <c r="D17" s="34"/>
      <c r="E17" s="34"/>
      <c r="F17" s="34"/>
      <c r="G17" s="34"/>
      <c r="H17" s="34"/>
      <c r="I17" s="54" t="str">
        <f>IFERROR(VLOOKUP(тип_услуг7,'Выпадающие списки'!A:I,8,0),"")</f>
        <v/>
      </c>
      <c r="J17" s="62" t="str">
        <f>IFERROR(IF(D17&lt;&gt;"Обработка карт пациентов",INDEX('Выпадающие списки'!$C$3:$G$17,MATCH(D17,Услуги,0),MATCH(Grade,'Выпадающие списки'!$C$2:$G$2,0)),IF(K17&gt;100*AND(Grade="City"),136*1.4*K17,136*1.2*K17)),"")</f>
        <v/>
      </c>
      <c r="K17" s="64"/>
    </row>
    <row r="18" spans="1:11" ht="15.95" customHeight="1" x14ac:dyDescent="0.25">
      <c r="A18" s="55" t="s">
        <v>4142</v>
      </c>
      <c r="B18" s="63"/>
      <c r="C18" s="61"/>
      <c r="D18" s="45" t="str">
        <f>IFERROR(INDEX('Выпадающие списки'!$B$3:$B$17,MATCH(D17,Услуги,0)),"")</f>
        <v/>
      </c>
      <c r="E18" s="34"/>
      <c r="F18" s="34"/>
      <c r="G18" s="34"/>
      <c r="H18" s="45" t="str">
        <f>_xlfn.IFNA(VLOOKUP(H17,'Выпадающие списки'!$A$21:$B$27,2,0),"")</f>
        <v/>
      </c>
      <c r="I18" s="54" t="str">
        <f>IFERROR(VLOOKUP(тип_услуг7,'Выпадающие списки'!A:I,9,0),"")</f>
        <v/>
      </c>
      <c r="J18" s="62"/>
      <c r="K18" s="64"/>
    </row>
    <row r="19" spans="1:11" ht="15.95" customHeight="1" x14ac:dyDescent="0.25">
      <c r="A19" s="55" t="s">
        <v>4141</v>
      </c>
      <c r="B19" s="63">
        <v>8</v>
      </c>
      <c r="C19" s="60"/>
      <c r="D19" s="34"/>
      <c r="E19" s="34"/>
      <c r="F19" s="34"/>
      <c r="G19" s="34"/>
      <c r="H19" s="34"/>
      <c r="I19" s="54" t="str">
        <f>IFERROR(VLOOKUP(тип_услуг8,'Выпадающие списки'!A:I,8,0),"")</f>
        <v/>
      </c>
      <c r="J19" s="62" t="str">
        <f>IFERROR(IF(D19&lt;&gt;"Обработка карт пациентов",INDEX('Выпадающие списки'!$C$3:$G$17,MATCH(D19,Услуги,0),MATCH(Grade,'Выпадающие списки'!$C$2:$G$2,0)),IF(K19&gt;100*AND(Grade="City"),136*1.4*K19,136*1.2*K19)),"")</f>
        <v/>
      </c>
      <c r="K19" s="64"/>
    </row>
    <row r="20" spans="1:11" ht="15.95" customHeight="1" x14ac:dyDescent="0.25">
      <c r="A20" s="55" t="s">
        <v>4142</v>
      </c>
      <c r="B20" s="63"/>
      <c r="C20" s="61"/>
      <c r="D20" s="45" t="str">
        <f>IFERROR(INDEX('Выпадающие списки'!$B$3:$B$17,MATCH(D19,Услуги,0)),"")</f>
        <v/>
      </c>
      <c r="E20" s="34"/>
      <c r="F20" s="34"/>
      <c r="G20" s="34"/>
      <c r="H20" s="45" t="str">
        <f>_xlfn.IFNA(VLOOKUP(H19,'Выпадающие списки'!$A$21:$B$27,2,0),"")</f>
        <v/>
      </c>
      <c r="I20" s="54" t="str">
        <f>IFERROR(VLOOKUP(тип_услуг8,'Выпадающие списки'!A:I,9,0),"")</f>
        <v/>
      </c>
      <c r="J20" s="62"/>
      <c r="K20" s="64"/>
    </row>
    <row r="21" spans="1:11" ht="15.95" customHeight="1" x14ac:dyDescent="0.25">
      <c r="A21" s="55" t="s">
        <v>4141</v>
      </c>
      <c r="B21" s="63">
        <v>9</v>
      </c>
      <c r="C21" s="60"/>
      <c r="D21" s="34"/>
      <c r="E21" s="34"/>
      <c r="F21" s="34"/>
      <c r="G21" s="34"/>
      <c r="H21" s="34"/>
      <c r="I21" s="54" t="str">
        <f>IFERROR(VLOOKUP(тип_услуг9,'Выпадающие списки'!A:I,8,0),"")</f>
        <v/>
      </c>
      <c r="J21" s="62" t="str">
        <f>IFERROR(IF(D21&lt;&gt;"Обработка карт пациентов",INDEX('Выпадающие списки'!$C$3:$G$17,MATCH(D21,Услуги,0),MATCH(Grade,'Выпадающие списки'!$C$2:$G$2,0)),IF(K21&gt;100*AND(Grade="City"),136*1.4*K21,136*1.2*K21)),"")</f>
        <v/>
      </c>
      <c r="K21" s="64"/>
    </row>
    <row r="22" spans="1:11" ht="15.95" customHeight="1" x14ac:dyDescent="0.25">
      <c r="A22" s="55" t="s">
        <v>4142</v>
      </c>
      <c r="B22" s="63"/>
      <c r="C22" s="61"/>
      <c r="D22" s="45" t="str">
        <f>IFERROR(INDEX('Выпадающие списки'!$B$3:$B$17,MATCH(D21,Услуги,0)),"")</f>
        <v/>
      </c>
      <c r="E22" s="34"/>
      <c r="F22" s="34"/>
      <c r="G22" s="34"/>
      <c r="H22" s="45" t="str">
        <f>_xlfn.IFNA(VLOOKUP(H21,'Выпадающие списки'!$A$21:$B$27,2,0),"")</f>
        <v/>
      </c>
      <c r="I22" s="54" t="str">
        <f>IFERROR(VLOOKUP(тип_услуг9,'Выпадающие списки'!A:I,9,0),"")</f>
        <v/>
      </c>
      <c r="J22" s="62"/>
      <c r="K22" s="64"/>
    </row>
    <row r="23" spans="1:11" ht="15.95" customHeight="1" x14ac:dyDescent="0.25">
      <c r="A23" s="55" t="s">
        <v>4141</v>
      </c>
      <c r="B23" s="63">
        <v>10</v>
      </c>
      <c r="C23" s="60"/>
      <c r="D23" s="34"/>
      <c r="E23" s="34"/>
      <c r="F23" s="34"/>
      <c r="G23" s="34"/>
      <c r="H23" s="34"/>
      <c r="I23" s="54" t="str">
        <f>IFERROR(VLOOKUP(тип_услуг10,'Выпадающие списки'!A:I,8,0),"")</f>
        <v/>
      </c>
      <c r="J23" s="62" t="str">
        <f>IFERROR(IF(D23&lt;&gt;"Обработка карт пациентов",INDEX('Выпадающие списки'!$C$3:$G$17,MATCH(D23,Услуги,0),MATCH(Grade,'Выпадающие списки'!$C$2:$G$2,0)),IF(K23&gt;100*AND(Grade="City"),136*1.4*K23,136*1.2*K23)),"")</f>
        <v/>
      </c>
      <c r="K23" s="64"/>
    </row>
    <row r="24" spans="1:11" ht="15.95" customHeight="1" x14ac:dyDescent="0.25">
      <c r="A24" s="55" t="s">
        <v>4142</v>
      </c>
      <c r="B24" s="63"/>
      <c r="C24" s="61"/>
      <c r="D24" s="45" t="str">
        <f>IFERROR(INDEX('Выпадающие списки'!$B$3:$B$17,MATCH(D23,Услуги,0)),"")</f>
        <v/>
      </c>
      <c r="E24" s="34"/>
      <c r="F24" s="34"/>
      <c r="G24" s="34"/>
      <c r="H24" s="45" t="str">
        <f>_xlfn.IFNA(VLOOKUP(H23,'Выпадающие списки'!$A$21:$B$27,2,0),"")</f>
        <v/>
      </c>
      <c r="I24" s="54" t="str">
        <f>IFERROR(VLOOKUP(тип_услуг10,'Выпадающие списки'!A:I,9,0),"")</f>
        <v/>
      </c>
      <c r="J24" s="62"/>
      <c r="K24" s="64"/>
    </row>
    <row r="25" spans="1:11" ht="15.95" customHeight="1" x14ac:dyDescent="0.25">
      <c r="I25" s="35" t="s">
        <v>3871</v>
      </c>
      <c r="J25" s="56">
        <f>SUMIF(C5:C24,"&lt;&gt;",J5:J24)</f>
        <v>0</v>
      </c>
    </row>
    <row r="26" spans="1:11" ht="15.95" customHeight="1" x14ac:dyDescent="0.25">
      <c r="E26" s="40" t="s">
        <v>0</v>
      </c>
      <c r="F26" s="40" t="s">
        <v>1928</v>
      </c>
      <c r="G26" s="40" t="s">
        <v>3868</v>
      </c>
      <c r="H26" s="40" t="s">
        <v>4015</v>
      </c>
    </row>
    <row r="27" spans="1:11" ht="32.1" customHeight="1" x14ac:dyDescent="0.25">
      <c r="D27" s="40" t="s">
        <v>5</v>
      </c>
      <c r="E27" s="14" t="s">
        <v>2229</v>
      </c>
      <c r="F27" s="14" t="s">
        <v>2230</v>
      </c>
      <c r="G27" s="31" t="s">
        <v>2233</v>
      </c>
      <c r="H27" s="14" t="s">
        <v>2235</v>
      </c>
    </row>
    <row r="28" spans="1:11" ht="32.1" customHeight="1" x14ac:dyDescent="0.25">
      <c r="D28" s="40" t="s">
        <v>6</v>
      </c>
      <c r="E28" s="14" t="s">
        <v>2227</v>
      </c>
      <c r="F28" s="14" t="s">
        <v>2228</v>
      </c>
      <c r="H28" s="14" t="s">
        <v>2234</v>
      </c>
    </row>
    <row r="29" spans="1:11" ht="15.95" customHeight="1" x14ac:dyDescent="0.25"/>
    <row r="30" spans="1:11" ht="15.95" customHeight="1" x14ac:dyDescent="0.25">
      <c r="E30" s="41" t="s">
        <v>4016</v>
      </c>
      <c r="F30" s="41" t="s">
        <v>4017</v>
      </c>
    </row>
    <row r="31" spans="1:11" ht="15.95" customHeight="1" x14ac:dyDescent="0.25">
      <c r="D31" s="40" t="s">
        <v>0</v>
      </c>
      <c r="E31" s="46" t="str">
        <f>E1</f>
        <v>Шерстнев Андрей Владимирович</v>
      </c>
      <c r="F31" s="46" t="str">
        <f>VLOOKUP(E31,Лекторы!B:C,2,0)</f>
        <v>Sherstnev Andrei Vladimirovich</v>
      </c>
    </row>
    <row r="32" spans="1:11" ht="15.95" customHeight="1" x14ac:dyDescent="0.25">
      <c r="D32" s="40" t="s">
        <v>2232</v>
      </c>
      <c r="E32" s="47" t="str">
        <f>CONCATENATE(LEFT(TRIM(E31),FIND(" ",TRIM(E31),1)),MID(TRIM(E31),FIND(" ",TRIM(E31),1)+1,1),".",MID(TRIM(E31),FIND(" ",TRIM(E31),FIND(" ",TRIM(E31),1)+1)+1,1),".")</f>
        <v>Шерстнев А.В.</v>
      </c>
      <c r="F32" s="46" t="str">
        <f>CONCATENATE(MID(TRIM(F31),FIND(" ",TRIM(F31),1)+1,1),".",MID(TRIM(F31),FIND(" ",TRIM(F31),FIND(" ",TRIM(F31),1)+1)+1,1),". ",LEFT(TRIM(F31),FIND(" ",TRIM(F31),1)-1))</f>
        <v>A.V. Sherstnev</v>
      </c>
    </row>
    <row r="33" spans="4:6" ht="15.95" customHeight="1" x14ac:dyDescent="0.25">
      <c r="D33" s="40" t="s">
        <v>39</v>
      </c>
      <c r="E33" s="48" t="str">
        <f>VLOOKUP(E1,Лекторы!B:D,3,0)</f>
        <v>9</v>
      </c>
      <c r="F33" s="46" t="str">
        <f>VLOOKUP(E1,Лекторы!B:E,4,0)</f>
        <v>Regional</v>
      </c>
    </row>
    <row r="34" spans="4:6" ht="15.95" customHeight="1" x14ac:dyDescent="0.25">
      <c r="D34" s="40" t="s">
        <v>40</v>
      </c>
      <c r="E34" s="46" t="str">
        <f>INDEX(Лекторы!F:F,MATCH(E1,Лекторы!B:B,0))</f>
        <v>Врач нефролог</v>
      </c>
      <c r="F34" s="46" t="str">
        <f>INDEX(Лекторы!G:G,MATCH(E1,Лекторы!B:B,0))</f>
        <v>Doctor nefrologist</v>
      </c>
    </row>
    <row r="35" spans="4:6" ht="15.95" customHeight="1" x14ac:dyDescent="0.25">
      <c r="D35" s="40" t="s">
        <v>41</v>
      </c>
      <c r="E35" s="49" t="str">
        <f>INDEX(Лекторы!H:H,MATCH(E1,Лекторы!B:B,0))</f>
        <v>г.Самара, СОКБ им. Середавина</v>
      </c>
      <c r="F35" s="49" t="str">
        <f>INDEX(Лекторы!I:I,MATCH(E1,Лекторы!B:B,0))</f>
        <v xml:space="preserve">Samara, SOKB Seredavina </v>
      </c>
    </row>
    <row r="36" spans="4:6" ht="32.1" customHeight="1" x14ac:dyDescent="0.25">
      <c r="D36" s="40" t="s">
        <v>1</v>
      </c>
      <c r="E36" s="50" t="str">
        <f>INDEX(Лекторы!J:J,MATCH(E1,Лекторы!B:B,0))</f>
        <v>3611 586469</v>
      </c>
      <c r="F36" s="44"/>
    </row>
    <row r="37" spans="4:6" ht="32.1" customHeight="1" x14ac:dyDescent="0.25">
      <c r="D37" s="40" t="s">
        <v>38</v>
      </c>
      <c r="E37" s="51" t="str">
        <f>INDEX(Лекторы!K:K,MATCH(E1,Лекторы!B:B,0))</f>
        <v>Отделом УФМС России по Самарской области в Советском районе гор.Самары</v>
      </c>
      <c r="F37" s="51" t="str">
        <f>INDEX(Лекторы!L:L,MATCH(E1,Лекторы!B:B,0))</f>
        <v>Otdelom UFMS Rossii po Samarskoi oblasti v Sovetskom raione gor.Samary</v>
      </c>
    </row>
    <row r="38" spans="4:6" ht="15.95" customHeight="1" x14ac:dyDescent="0.25">
      <c r="D38" s="40" t="s">
        <v>1057</v>
      </c>
      <c r="E38" s="52" t="str">
        <f>INDEX(Лекторы!M:M,MATCH(E1,Лекторы!B:B,0))</f>
        <v>12-07-2012</v>
      </c>
      <c r="F38" s="44"/>
    </row>
    <row r="39" spans="4:6" ht="15.95" customHeight="1" x14ac:dyDescent="0.25">
      <c r="D39" s="40" t="s">
        <v>2</v>
      </c>
      <c r="E39" s="50" t="str">
        <f>INDEX(Лекторы!N:N,MATCH(E1,Лекторы!B:B,0))</f>
        <v>631625443500</v>
      </c>
      <c r="F39" s="44"/>
    </row>
    <row r="40" spans="4:6" ht="15.95" customHeight="1" x14ac:dyDescent="0.25">
      <c r="D40" s="40" t="s">
        <v>13</v>
      </c>
      <c r="E40" s="50" t="str">
        <f>INDEX(Лекторы!O:O,MATCH(E1,Лекторы!B:B,0))</f>
        <v>053-706-029 39</v>
      </c>
      <c r="F40" s="44"/>
    </row>
    <row r="41" spans="4:6" ht="27" customHeight="1" x14ac:dyDescent="0.25">
      <c r="D41" s="40" t="s">
        <v>3</v>
      </c>
      <c r="E41" s="50" t="str">
        <f>INDEX(Лекторы!P:P,MATCH(E1,Лекторы!B:B,0))</f>
        <v>г. Самара, ул. Академика Платонова, 8 кв 169</v>
      </c>
      <c r="F41" s="53" t="str">
        <f>INDEX(Лекторы!Q:Q,MATCH(E1,Лекторы!B:B,0))</f>
        <v>Bld. 8, Academician Platonov street, apartment  169, Samara, 443011, Russian Federation</v>
      </c>
    </row>
    <row r="42" spans="4:6" ht="15.95" customHeight="1" x14ac:dyDescent="0.25">
      <c r="D42" s="40" t="s">
        <v>4</v>
      </c>
      <c r="E42" s="51" t="str">
        <f>INDEX(Лекторы!R:R,MATCH(E1,Лекторы!B:B,0))</f>
        <v>7(927)688-81-00</v>
      </c>
      <c r="F42" s="44"/>
    </row>
    <row r="43" spans="4:6" ht="15.95" customHeight="1" x14ac:dyDescent="0.25">
      <c r="D43" s="42" t="s">
        <v>4012</v>
      </c>
      <c r="E43" s="51" t="str">
        <f>INDEX(Лекторы!S:S,MATCH(E1,Лекторы!B:B,0))</f>
        <v>40817810054409144018</v>
      </c>
      <c r="F43" s="44"/>
    </row>
    <row r="44" spans="4:6" ht="30" x14ac:dyDescent="0.25">
      <c r="D44" s="42" t="s">
        <v>4011</v>
      </c>
      <c r="E44" s="51" t="str">
        <f>INDEX(Лекторы!T:T,MATCH(E1,Лекторы!B:B,0))</f>
        <v>Отделение №6991 Сбербанка России г. Самара</v>
      </c>
      <c r="F44" s="49" t="str">
        <f>INDEX(Лекторы!U:U,MATCH(E1,Лекторы!B:B,0))</f>
        <v>Otdelenie №6991 Sberbanka Rossii g. Samara</v>
      </c>
    </row>
    <row r="45" spans="4:6" x14ac:dyDescent="0.25">
      <c r="D45" s="42" t="s">
        <v>4013</v>
      </c>
      <c r="E45" s="51" t="str">
        <f>INDEX(Лекторы!V:V,MATCH(E1,Лекторы!B:B,0))</f>
        <v>30101810200000000607</v>
      </c>
      <c r="F45" s="44"/>
    </row>
    <row r="46" spans="4:6" ht="15.95" customHeight="1" x14ac:dyDescent="0.25">
      <c r="D46" s="40" t="s">
        <v>4014</v>
      </c>
      <c r="E46" s="50" t="str">
        <f>INDEX(Лекторы!W:W,MATCH(E1,Лекторы!B:B,0))</f>
        <v>043601607</v>
      </c>
      <c r="F46" s="44"/>
    </row>
    <row r="47" spans="4:6" ht="15.95" customHeight="1" x14ac:dyDescent="0.25"/>
    <row r="75" spans="4:7" x14ac:dyDescent="0.25">
      <c r="D75" s="3"/>
      <c r="F75" s="1"/>
      <c r="G75" s="1"/>
    </row>
    <row r="76" spans="4:7" x14ac:dyDescent="0.25">
      <c r="D76" s="3"/>
      <c r="E76" s="1"/>
      <c r="F76" s="1"/>
      <c r="G76" s="1"/>
    </row>
    <row r="77" spans="4:7" x14ac:dyDescent="0.25">
      <c r="D77" s="3"/>
      <c r="E77" s="1"/>
      <c r="F77" s="1"/>
      <c r="G77" s="1"/>
    </row>
    <row r="78" spans="4:7" ht="8.25" hidden="1" customHeight="1" x14ac:dyDescent="0.25">
      <c r="D78" s="3" t="s">
        <v>11</v>
      </c>
      <c r="E78" s="1" t="s">
        <v>11</v>
      </c>
      <c r="F78" s="1"/>
      <c r="G78" s="1"/>
    </row>
    <row r="79" spans="4:7" hidden="1" x14ac:dyDescent="0.25">
      <c r="D79" s="10" t="s">
        <v>36</v>
      </c>
      <c r="E79" s="11" t="s">
        <v>16</v>
      </c>
      <c r="F79" s="11" t="s">
        <v>37</v>
      </c>
      <c r="G79" s="1"/>
    </row>
    <row r="80" spans="4:7" hidden="1" x14ac:dyDescent="0.25">
      <c r="D80" s="10" t="s">
        <v>34</v>
      </c>
      <c r="E80" s="11" t="s">
        <v>17</v>
      </c>
      <c r="F80" s="11" t="s">
        <v>35</v>
      </c>
      <c r="G80" s="1"/>
    </row>
    <row r="81" spans="4:7" hidden="1" x14ac:dyDescent="0.25">
      <c r="D81" s="10" t="s">
        <v>15</v>
      </c>
      <c r="E81" s="11" t="s">
        <v>18</v>
      </c>
      <c r="F81" s="11" t="s">
        <v>11</v>
      </c>
      <c r="G81" s="1"/>
    </row>
    <row r="82" spans="4:7" ht="75" hidden="1" x14ac:dyDescent="0.25">
      <c r="D82" s="10" t="s">
        <v>20</v>
      </c>
      <c r="E82" s="12" t="s">
        <v>19</v>
      </c>
      <c r="F82" s="11"/>
      <c r="G82" s="1"/>
    </row>
    <row r="83" spans="4:7" ht="255" hidden="1" x14ac:dyDescent="0.25">
      <c r="D83" s="10" t="s">
        <v>21</v>
      </c>
      <c r="E83" s="12" t="s">
        <v>23</v>
      </c>
      <c r="F83" s="11"/>
      <c r="G83" s="1"/>
    </row>
    <row r="84" spans="4:7" ht="90" hidden="1" x14ac:dyDescent="0.25">
      <c r="D84" s="10" t="s">
        <v>22</v>
      </c>
      <c r="E84" s="12" t="s">
        <v>24</v>
      </c>
      <c r="F84" s="11"/>
      <c r="G84" s="1"/>
    </row>
    <row r="85" spans="4:7" ht="60" hidden="1" x14ac:dyDescent="0.25">
      <c r="D85" s="10" t="s">
        <v>25</v>
      </c>
      <c r="E85" s="12" t="s">
        <v>26</v>
      </c>
      <c r="F85" s="11"/>
      <c r="G85" s="1"/>
    </row>
    <row r="86" spans="4:7" ht="120" hidden="1" x14ac:dyDescent="0.25">
      <c r="D86" s="10" t="s">
        <v>27</v>
      </c>
      <c r="E86" s="12" t="s">
        <v>28</v>
      </c>
      <c r="F86" s="11"/>
      <c r="G86" s="1"/>
    </row>
    <row r="87" spans="4:7" ht="45" hidden="1" x14ac:dyDescent="0.25">
      <c r="D87" s="10" t="s">
        <v>29</v>
      </c>
      <c r="E87" s="12" t="s">
        <v>30</v>
      </c>
      <c r="F87" s="11"/>
      <c r="G87" s="1"/>
    </row>
    <row r="88" spans="4:7" ht="165" hidden="1" x14ac:dyDescent="0.25">
      <c r="D88" s="10" t="s">
        <v>32</v>
      </c>
      <c r="E88" s="12" t="s">
        <v>31</v>
      </c>
      <c r="F88" s="11" t="s">
        <v>33</v>
      </c>
      <c r="G88" s="1"/>
    </row>
    <row r="89" spans="4:7" hidden="1" x14ac:dyDescent="0.25">
      <c r="D89" s="3"/>
      <c r="E89" s="9"/>
      <c r="F89" s="1"/>
      <c r="G89" s="1"/>
    </row>
    <row r="90" spans="4:7" hidden="1" x14ac:dyDescent="0.25">
      <c r="D90" s="3"/>
      <c r="F90" s="1"/>
      <c r="G90" s="1"/>
    </row>
    <row r="91" spans="4:7" hidden="1" x14ac:dyDescent="0.25">
      <c r="D91" s="3">
        <v>1920</v>
      </c>
      <c r="E91" s="1"/>
      <c r="F91" s="1"/>
      <c r="G91" s="1"/>
    </row>
    <row r="92" spans="4:7" hidden="1" x14ac:dyDescent="0.25">
      <c r="D92" s="3">
        <v>3840</v>
      </c>
      <c r="E92" s="1"/>
      <c r="F92" s="1"/>
      <c r="G92" s="1"/>
    </row>
    <row r="93" spans="4:7" hidden="1" x14ac:dyDescent="0.25">
      <c r="D93" s="3">
        <v>5760</v>
      </c>
      <c r="E93" s="1"/>
    </row>
    <row r="94" spans="4:7" hidden="1" x14ac:dyDescent="0.25">
      <c r="D94" s="3">
        <v>7680</v>
      </c>
    </row>
    <row r="95" spans="4:7" x14ac:dyDescent="0.25">
      <c r="D95" s="3">
        <v>9600</v>
      </c>
    </row>
  </sheetData>
  <sheetProtection algorithmName="SHA-512" hashValue="8lZRk5V34thUOMFKKkGXBggtkND0cu9X+/9muZCRBbCTs68mzG6M2Gg3hPuJCqEi9xS3kX9dUuuVCHdFf1MoQw==" saltValue="GOBXFc+Tv0Yc7mxpFa77Ng==" spinCount="100000" sheet="1" formatColumns="0" formatRows="0"/>
  <mergeCells count="40">
    <mergeCell ref="K15:K16"/>
    <mergeCell ref="K17:K18"/>
    <mergeCell ref="K19:K20"/>
    <mergeCell ref="K21:K22"/>
    <mergeCell ref="K23:K24"/>
    <mergeCell ref="K5:K6"/>
    <mergeCell ref="K7:K8"/>
    <mergeCell ref="K9:K10"/>
    <mergeCell ref="K11:K12"/>
    <mergeCell ref="K13:K14"/>
    <mergeCell ref="C21:C22"/>
    <mergeCell ref="C23:C24"/>
    <mergeCell ref="J5:J6"/>
    <mergeCell ref="J7:J8"/>
    <mergeCell ref="C15:C16"/>
    <mergeCell ref="C17:C18"/>
    <mergeCell ref="C19:C20"/>
    <mergeCell ref="J9:J10"/>
    <mergeCell ref="J11:J12"/>
    <mergeCell ref="J13:J14"/>
    <mergeCell ref="C7:C8"/>
    <mergeCell ref="C9:C10"/>
    <mergeCell ref="C11:C12"/>
    <mergeCell ref="C13:C14"/>
    <mergeCell ref="J21:J22"/>
    <mergeCell ref="J23:J24"/>
    <mergeCell ref="B21:B22"/>
    <mergeCell ref="B23:B24"/>
    <mergeCell ref="B5:B6"/>
    <mergeCell ref="B7:B8"/>
    <mergeCell ref="B9:B10"/>
    <mergeCell ref="B11:B12"/>
    <mergeCell ref="B13:B14"/>
    <mergeCell ref="C5:C6"/>
    <mergeCell ref="J15:J16"/>
    <mergeCell ref="J17:J18"/>
    <mergeCell ref="J19:J20"/>
    <mergeCell ref="B15:B16"/>
    <mergeCell ref="B17:B18"/>
    <mergeCell ref="B19:B20"/>
  </mergeCells>
  <dataValidations count="3">
    <dataValidation type="list" allowBlank="1" showInputMessage="1" showErrorMessage="1" sqref="D5 D7 D15 D17 D9 D11 D13 D19 D21 D23">
      <formula1>Услуги</formula1>
    </dataValidation>
    <dataValidation type="list" allowBlank="1" showInputMessage="1" showErrorMessage="1" sqref="H11 H19 H13 H15 H17 H5 H7 H21 H9 H23">
      <formula1>Аудитория</formula1>
    </dataValidation>
    <dataValidation type="list" allowBlank="1" showInputMessage="1" showErrorMessage="1" sqref="E1">
      <formula1>Lecturers_names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Contract">
                <anchor>
                  <from>
                    <xdr:col>3</xdr:col>
                    <xdr:colOff>2171700</xdr:colOff>
                    <xdr:row>2</xdr:row>
                    <xdr:rowOff>38100</xdr:rowOff>
                  </from>
                  <to>
                    <xdr:col>3</xdr:col>
                    <xdr:colOff>2895600</xdr:colOff>
                    <xdr:row>2</xdr:row>
                    <xdr:rowOff>257175</xdr:rowOff>
                  </to>
                </anchor>
              </controlPr>
            </control>
          </mc:Choice>
        </mc:AlternateContent>
        <mc:AlternateContent xmlns:mc="http://schemas.openxmlformats.org/markup-compatibility/2006">
          <mc:Choice Requires="x14">
            <control shapeId="1032" r:id="rId5" name="Button 8">
              <controlPr defaultSize="0" print="0" autoFill="0" autoPict="0" macro="[0]!Obosnovanie">
                <anchor>
                  <from>
                    <xdr:col>3</xdr:col>
                    <xdr:colOff>314325</xdr:colOff>
                    <xdr:row>2</xdr:row>
                    <xdr:rowOff>47625</xdr:rowOff>
                  </from>
                  <to>
                    <xdr:col>3</xdr:col>
                    <xdr:colOff>1200150</xdr:colOff>
                    <xdr:row>2</xdr:row>
                    <xdr:rowOff>266700</xdr:rowOff>
                  </to>
                </anchor>
              </controlPr>
            </control>
          </mc:Choice>
        </mc:AlternateContent>
        <mc:AlternateContent xmlns:mc="http://schemas.openxmlformats.org/markup-compatibility/2006">
          <mc:Choice Requires="x14">
            <control shapeId="1033" r:id="rId6" name="Button 9">
              <controlPr defaultSize="0" print="0" autoFill="0" autoPict="0" macro="[0]!Raschet_summy_gonorara">
                <anchor>
                  <from>
                    <xdr:col>3</xdr:col>
                    <xdr:colOff>1209675</xdr:colOff>
                    <xdr:row>2</xdr:row>
                    <xdr:rowOff>47625</xdr:rowOff>
                  </from>
                  <to>
                    <xdr:col>3</xdr:col>
                    <xdr:colOff>2095500</xdr:colOff>
                    <xdr:row>2</xdr:row>
                    <xdr:rowOff>266700</xdr:rowOff>
                  </to>
                </anchor>
              </controlPr>
            </control>
          </mc:Choice>
        </mc:AlternateContent>
        <mc:AlternateContent xmlns:mc="http://schemas.openxmlformats.org/markup-compatibility/2006">
          <mc:Choice Requires="x14">
            <control shapeId="1048" r:id="rId7" name="Button 24">
              <controlPr defaultSize="0" print="0" autoFill="0" autoPict="0" macro="[0]!Smeta">
                <anchor>
                  <from>
                    <xdr:col>4</xdr:col>
                    <xdr:colOff>1457325</xdr:colOff>
                    <xdr:row>2</xdr:row>
                    <xdr:rowOff>47625</xdr:rowOff>
                  </from>
                  <to>
                    <xdr:col>4</xdr:col>
                    <xdr:colOff>2181225</xdr:colOff>
                    <xdr:row>2</xdr:row>
                    <xdr:rowOff>257175</xdr:rowOff>
                  </to>
                </anchor>
              </controlPr>
            </control>
          </mc:Choice>
        </mc:AlternateContent>
        <mc:AlternateContent xmlns:mc="http://schemas.openxmlformats.org/markup-compatibility/2006">
          <mc:Choice Requires="x14">
            <control shapeId="1052" r:id="rId8" name="Button 28">
              <controlPr defaultSize="0" print="0" autoFill="0" autoPict="0" macro="[0]!Annex">
                <anchor>
                  <from>
                    <xdr:col>4</xdr:col>
                    <xdr:colOff>609600</xdr:colOff>
                    <xdr:row>2</xdr:row>
                    <xdr:rowOff>47625</xdr:rowOff>
                  </from>
                  <to>
                    <xdr:col>4</xdr:col>
                    <xdr:colOff>1390650</xdr:colOff>
                    <xdr:row>2</xdr:row>
                    <xdr:rowOff>266700</xdr:rowOff>
                  </to>
                </anchor>
              </controlPr>
            </control>
          </mc:Choice>
        </mc:AlternateContent>
        <mc:AlternateContent xmlns:mc="http://schemas.openxmlformats.org/markup-compatibility/2006">
          <mc:Choice Requires="x14">
            <control shapeId="1055" r:id="rId9" name="Button 31">
              <controlPr defaultSize="0" print="0" autoFill="0" autoPict="0" macro="[0]!Act">
                <anchor>
                  <from>
                    <xdr:col>3</xdr:col>
                    <xdr:colOff>3114675</xdr:colOff>
                    <xdr:row>2</xdr:row>
                    <xdr:rowOff>38100</xdr:rowOff>
                  </from>
                  <to>
                    <xdr:col>4</xdr:col>
                    <xdr:colOff>523875</xdr:colOff>
                    <xdr:row>2</xdr:row>
                    <xdr:rowOff>257175</xdr:rowOff>
                  </to>
                </anchor>
              </controlPr>
            </control>
          </mc:Choice>
        </mc:AlternateContent>
        <mc:AlternateContent xmlns:mc="http://schemas.openxmlformats.org/markup-compatibility/2006">
          <mc:Choice Requires="x14">
            <control shapeId="1062" r:id="rId10" name="Button 38">
              <controlPr defaultSize="0" print="0" autoFill="0" autoPict="0" macro="[0]!ClearTable">
                <anchor>
                  <from>
                    <xdr:col>0</xdr:col>
                    <xdr:colOff>57150</xdr:colOff>
                    <xdr:row>0</xdr:row>
                    <xdr:rowOff>190500</xdr:rowOff>
                  </from>
                  <to>
                    <xdr:col>2</xdr:col>
                    <xdr:colOff>171450</xdr:colOff>
                    <xdr:row>2</xdr:row>
                    <xdr:rowOff>190500</xdr:rowOff>
                  </to>
                </anchor>
              </controlPr>
            </control>
          </mc:Choice>
        </mc:AlternateContent>
        <mc:AlternateContent xmlns:mc="http://schemas.openxmlformats.org/markup-compatibility/2006">
          <mc:Choice Requires="x14">
            <control shapeId="1063" r:id="rId11" name="Button 39">
              <controlPr defaultSize="0" print="0" autoFill="0" autoPict="0" macro="[0]!OpenFolder">
                <anchor>
                  <from>
                    <xdr:col>5</xdr:col>
                    <xdr:colOff>809625</xdr:colOff>
                    <xdr:row>0</xdr:row>
                    <xdr:rowOff>19050</xdr:rowOff>
                  </from>
                  <to>
                    <xdr:col>5</xdr:col>
                    <xdr:colOff>2514600</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election activeCell="G6" sqref="G6"/>
    </sheetView>
  </sheetViews>
  <sheetFormatPr defaultRowHeight="15" x14ac:dyDescent="0.25"/>
  <sheetData/>
  <pageMargins left="0.7" right="0.7" top="0.75" bottom="0.75" header="0.3" footer="0.3"/>
  <pageSetup paperSize="9" orientation="portrait" r:id="rId1"/>
  <drawing r:id="rId2"/>
  <legacyDrawing r:id="rId3"/>
  <oleObjects>
    <mc:AlternateContent xmlns:mc="http://schemas.openxmlformats.org/markup-compatibility/2006">
      <mc:Choice Requires="x14">
        <oleObject progId="Document" dvAspect="DVASPECT_ICON" shapeId="5121" r:id="rId4">
          <objectPr defaultSize="0" r:id="rId5">
            <anchor moveWithCells="1">
              <from>
                <xdr:col>1</xdr:col>
                <xdr:colOff>9525</xdr:colOff>
                <xdr:row>1</xdr:row>
                <xdr:rowOff>57150</xdr:rowOff>
              </from>
              <to>
                <xdr:col>2</xdr:col>
                <xdr:colOff>314325</xdr:colOff>
                <xdr:row>4</xdr:row>
                <xdr:rowOff>171450</xdr:rowOff>
              </to>
            </anchor>
          </objectPr>
        </oleObject>
      </mc:Choice>
      <mc:Fallback>
        <oleObject progId="Document" dvAspect="DVASPECT_ICON" shapeId="5121" r:id="rId4"/>
      </mc:Fallback>
    </mc:AlternateContent>
    <mc:AlternateContent xmlns:mc="http://schemas.openxmlformats.org/markup-compatibility/2006">
      <mc:Choice Requires="x14">
        <oleObject progId="Document" dvAspect="DVASPECT_ICON" shapeId="5123" r:id="rId6">
          <objectPr defaultSize="0" r:id="rId7">
            <anchor moveWithCells="1">
              <from>
                <xdr:col>1</xdr:col>
                <xdr:colOff>0</xdr:colOff>
                <xdr:row>11</xdr:row>
                <xdr:rowOff>0</xdr:rowOff>
              </from>
              <to>
                <xdr:col>2</xdr:col>
                <xdr:colOff>304800</xdr:colOff>
                <xdr:row>14</xdr:row>
                <xdr:rowOff>114300</xdr:rowOff>
              </to>
            </anchor>
          </objectPr>
        </oleObject>
      </mc:Choice>
      <mc:Fallback>
        <oleObject progId="Document" dvAspect="DVASPECT_ICON" shapeId="5123" r:id="rId6"/>
      </mc:Fallback>
    </mc:AlternateContent>
    <mc:AlternateContent xmlns:mc="http://schemas.openxmlformats.org/markup-compatibility/2006">
      <mc:Choice Requires="x14">
        <oleObject progId="Document" dvAspect="DVASPECT_ICON" shapeId="5124" r:id="rId8">
          <objectPr defaultSize="0" r:id="rId9">
            <anchor moveWithCells="1">
              <from>
                <xdr:col>1</xdr:col>
                <xdr:colOff>0</xdr:colOff>
                <xdr:row>16</xdr:row>
                <xdr:rowOff>0</xdr:rowOff>
              </from>
              <to>
                <xdr:col>2</xdr:col>
                <xdr:colOff>304800</xdr:colOff>
                <xdr:row>19</xdr:row>
                <xdr:rowOff>114300</xdr:rowOff>
              </to>
            </anchor>
          </objectPr>
        </oleObject>
      </mc:Choice>
      <mc:Fallback>
        <oleObject progId="Document" dvAspect="DVASPECT_ICON" shapeId="5124" r:id="rId8"/>
      </mc:Fallback>
    </mc:AlternateContent>
    <mc:AlternateContent xmlns:mc="http://schemas.openxmlformats.org/markup-compatibility/2006">
      <mc:Choice Requires="x14">
        <oleObject progId="Worksheet" dvAspect="DVASPECT_ICON" shapeId="5126" r:id="rId10">
          <objectPr defaultSize="0" r:id="rId11">
            <anchor moveWithCells="1">
              <from>
                <xdr:col>1</xdr:col>
                <xdr:colOff>0</xdr:colOff>
                <xdr:row>26</xdr:row>
                <xdr:rowOff>0</xdr:rowOff>
              </from>
              <to>
                <xdr:col>1</xdr:col>
                <xdr:colOff>504825</xdr:colOff>
                <xdr:row>31</xdr:row>
                <xdr:rowOff>76200</xdr:rowOff>
              </to>
            </anchor>
          </objectPr>
        </oleObject>
      </mc:Choice>
      <mc:Fallback>
        <oleObject progId="Worksheet" dvAspect="DVASPECT_ICON" shapeId="5126" r:id="rId10"/>
      </mc:Fallback>
    </mc:AlternateContent>
    <mc:AlternateContent xmlns:mc="http://schemas.openxmlformats.org/markup-compatibility/2006">
      <mc:Choice Requires="x14">
        <oleObject progId="Document" dvAspect="DVASPECT_ICON" shapeId="5127" r:id="rId12">
          <objectPr defaultSize="0" r:id="rId13">
            <anchor moveWithCells="1">
              <from>
                <xdr:col>1</xdr:col>
                <xdr:colOff>0</xdr:colOff>
                <xdr:row>21</xdr:row>
                <xdr:rowOff>28575</xdr:rowOff>
              </from>
              <to>
                <xdr:col>2</xdr:col>
                <xdr:colOff>304800</xdr:colOff>
                <xdr:row>25</xdr:row>
                <xdr:rowOff>38100</xdr:rowOff>
              </to>
            </anchor>
          </objectPr>
        </oleObject>
      </mc:Choice>
      <mc:Fallback>
        <oleObject progId="Document" dvAspect="DVASPECT_ICON" shapeId="5127" r:id="rId12"/>
      </mc:Fallback>
    </mc:AlternateContent>
    <mc:AlternateContent xmlns:mc="http://schemas.openxmlformats.org/markup-compatibility/2006">
      <mc:Choice Requires="x14">
        <oleObject progId="Document" dvAspect="DVASPECT_ICON" shapeId="5130" r:id="rId14">
          <objectPr defaultSize="0" r:id="rId15">
            <anchor moveWithCells="1">
              <from>
                <xdr:col>1</xdr:col>
                <xdr:colOff>0</xdr:colOff>
                <xdr:row>6</xdr:row>
                <xdr:rowOff>0</xdr:rowOff>
              </from>
              <to>
                <xdr:col>2</xdr:col>
                <xdr:colOff>304800</xdr:colOff>
                <xdr:row>9</xdr:row>
                <xdr:rowOff>114300</xdr:rowOff>
              </to>
            </anchor>
          </objectPr>
        </oleObject>
      </mc:Choice>
      <mc:Fallback>
        <oleObject progId="Document" dvAspect="DVASPECT_ICON" shapeId="5130" r:id="rId1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611"/>
  <sheetViews>
    <sheetView workbookViewId="0">
      <selection activeCell="D17" sqref="D17"/>
    </sheetView>
  </sheetViews>
  <sheetFormatPr defaultRowHeight="15" x14ac:dyDescent="0.25"/>
  <cols>
    <col min="1" max="1" width="5" customWidth="1"/>
    <col min="2" max="2" width="38.140625" customWidth="1"/>
    <col min="3" max="3" width="34.5703125" customWidth="1"/>
    <col min="4" max="4" width="8.140625" customWidth="1"/>
    <col min="5" max="5" width="12.5703125" bestFit="1" customWidth="1"/>
    <col min="6" max="9" width="81.140625" customWidth="1"/>
    <col min="10" max="10" width="11.85546875" customWidth="1"/>
    <col min="11" max="12" width="81.140625" customWidth="1"/>
    <col min="13" max="13" width="13.5703125" style="15" customWidth="1"/>
    <col min="14" max="14" width="13.140625" customWidth="1"/>
    <col min="15" max="15" width="14.28515625" customWidth="1"/>
    <col min="16" max="17" width="81.140625" customWidth="1"/>
    <col min="18" max="18" width="16.85546875" customWidth="1"/>
    <col min="19" max="19" width="24.28515625" customWidth="1"/>
    <col min="20" max="21" width="81.140625" customWidth="1"/>
    <col min="22" max="22" width="21.85546875" customWidth="1"/>
    <col min="23" max="23" width="10.42578125" customWidth="1"/>
  </cols>
  <sheetData>
    <row r="1" spans="1:23" x14ac:dyDescent="0.25">
      <c r="A1" s="29" t="s">
        <v>3554</v>
      </c>
      <c r="B1" s="29" t="s">
        <v>1928</v>
      </c>
      <c r="C1" s="29" t="s">
        <v>3555</v>
      </c>
      <c r="D1" s="32" t="s">
        <v>1925</v>
      </c>
      <c r="E1" s="32" t="s">
        <v>1926</v>
      </c>
      <c r="F1" s="32" t="s">
        <v>3862</v>
      </c>
      <c r="G1" s="32" t="s">
        <v>1929</v>
      </c>
      <c r="H1" s="32" t="s">
        <v>3863</v>
      </c>
      <c r="I1" s="32" t="s">
        <v>1930</v>
      </c>
      <c r="J1" s="32" t="s">
        <v>3864</v>
      </c>
      <c r="K1" s="32" t="s">
        <v>3865</v>
      </c>
      <c r="L1" s="32" t="s">
        <v>2231</v>
      </c>
      <c r="M1" s="32" t="s">
        <v>1057</v>
      </c>
      <c r="N1" s="32" t="s">
        <v>3866</v>
      </c>
      <c r="O1" s="32" t="s">
        <v>3867</v>
      </c>
      <c r="P1" s="32" t="s">
        <v>3</v>
      </c>
      <c r="Q1" s="32" t="s">
        <v>12</v>
      </c>
      <c r="R1" s="32" t="s">
        <v>3868</v>
      </c>
      <c r="S1" s="33" t="s">
        <v>3869</v>
      </c>
      <c r="T1" s="33" t="s">
        <v>3870</v>
      </c>
      <c r="U1" s="33" t="s">
        <v>9</v>
      </c>
      <c r="V1" s="33" t="s">
        <v>1056</v>
      </c>
      <c r="W1" s="32" t="s">
        <v>8</v>
      </c>
    </row>
    <row r="2" spans="1:23" x14ac:dyDescent="0.25">
      <c r="A2" s="29">
        <v>1</v>
      </c>
      <c r="B2" s="29" t="s">
        <v>185</v>
      </c>
      <c r="C2" s="29" t="s">
        <v>1931</v>
      </c>
      <c r="D2" s="29" t="s">
        <v>3556</v>
      </c>
      <c r="E2" s="29" t="s">
        <v>1921</v>
      </c>
      <c r="F2" s="29" t="s">
        <v>3225</v>
      </c>
      <c r="G2" s="29" t="s">
        <v>3226</v>
      </c>
      <c r="H2" s="29" t="s">
        <v>3227</v>
      </c>
      <c r="I2" s="29" t="s">
        <v>3228</v>
      </c>
      <c r="J2" s="13" t="s">
        <v>3167</v>
      </c>
      <c r="K2" s="13" t="s">
        <v>4268</v>
      </c>
      <c r="L2" s="13" t="s">
        <v>4269</v>
      </c>
      <c r="M2" s="15" t="s">
        <v>3557</v>
      </c>
      <c r="N2" s="13" t="s">
        <v>1633</v>
      </c>
      <c r="O2" s="13" t="s">
        <v>1074</v>
      </c>
      <c r="P2" s="29" t="s">
        <v>1053</v>
      </c>
      <c r="Q2" s="29" t="s">
        <v>2502</v>
      </c>
      <c r="R2" s="29" t="s">
        <v>3229</v>
      </c>
      <c r="S2" s="29" t="s">
        <v>1051</v>
      </c>
      <c r="T2" s="29" t="s">
        <v>267</v>
      </c>
      <c r="U2" s="29" t="s">
        <v>2606</v>
      </c>
      <c r="V2" s="29" t="s">
        <v>421</v>
      </c>
      <c r="W2" s="29" t="s">
        <v>375</v>
      </c>
    </row>
    <row r="3" spans="1:23" x14ac:dyDescent="0.25">
      <c r="A3" s="29">
        <v>2</v>
      </c>
      <c r="B3" s="29" t="s">
        <v>107</v>
      </c>
      <c r="C3" s="29" t="s">
        <v>1932</v>
      </c>
      <c r="D3" s="29" t="s">
        <v>3558</v>
      </c>
      <c r="E3" s="29" t="s">
        <v>1922</v>
      </c>
      <c r="F3" s="29"/>
      <c r="G3" s="29"/>
      <c r="H3" s="29"/>
      <c r="I3" s="29"/>
      <c r="J3" s="13" t="s">
        <v>2907</v>
      </c>
      <c r="K3" s="13" t="s">
        <v>1075</v>
      </c>
      <c r="L3" s="13" t="s">
        <v>2240</v>
      </c>
      <c r="M3" s="15" t="s">
        <v>3559</v>
      </c>
      <c r="N3" s="13" t="s">
        <v>1634</v>
      </c>
      <c r="O3" s="13" t="s">
        <v>1076</v>
      </c>
      <c r="P3" s="29" t="s">
        <v>874</v>
      </c>
      <c r="Q3" s="29" t="s">
        <v>2503</v>
      </c>
      <c r="R3" s="29"/>
      <c r="S3" s="29" t="s">
        <v>876</v>
      </c>
      <c r="T3" s="29" t="s">
        <v>4018</v>
      </c>
      <c r="U3" s="29" t="s">
        <v>4019</v>
      </c>
      <c r="V3" s="29" t="s">
        <v>877</v>
      </c>
      <c r="W3" s="29" t="s">
        <v>875</v>
      </c>
    </row>
    <row r="4" spans="1:23" x14ac:dyDescent="0.25">
      <c r="A4" s="29">
        <v>305</v>
      </c>
      <c r="B4" s="29" t="s">
        <v>3927</v>
      </c>
      <c r="C4" s="29" t="s">
        <v>4270</v>
      </c>
      <c r="D4" s="29" t="s">
        <v>3563</v>
      </c>
      <c r="E4" s="29" t="s">
        <v>1923</v>
      </c>
      <c r="F4" s="29" t="s">
        <v>3928</v>
      </c>
      <c r="G4" s="29" t="s">
        <v>3250</v>
      </c>
      <c r="H4" s="29" t="s">
        <v>3929</v>
      </c>
      <c r="I4" s="29" t="s">
        <v>3930</v>
      </c>
      <c r="J4" s="13" t="s">
        <v>3931</v>
      </c>
      <c r="K4" s="13" t="s">
        <v>3932</v>
      </c>
      <c r="L4" s="13" t="s">
        <v>4271</v>
      </c>
      <c r="M4" s="15" t="s">
        <v>3933</v>
      </c>
      <c r="N4" s="13" t="s">
        <v>3934</v>
      </c>
      <c r="O4" s="13" t="s">
        <v>3935</v>
      </c>
      <c r="P4" s="29" t="s">
        <v>3936</v>
      </c>
      <c r="Q4" s="29" t="s">
        <v>3937</v>
      </c>
      <c r="R4" s="29" t="s">
        <v>3938</v>
      </c>
      <c r="S4" s="29" t="s">
        <v>3939</v>
      </c>
      <c r="T4" s="29" t="s">
        <v>4020</v>
      </c>
      <c r="U4" s="29" t="s">
        <v>4021</v>
      </c>
      <c r="V4" s="29" t="s">
        <v>3940</v>
      </c>
      <c r="W4" s="29" t="s">
        <v>3941</v>
      </c>
    </row>
    <row r="5" spans="1:23" x14ac:dyDescent="0.25">
      <c r="A5" s="29">
        <v>3</v>
      </c>
      <c r="B5" s="29" t="s">
        <v>143</v>
      </c>
      <c r="C5" s="29" t="s">
        <v>1933</v>
      </c>
      <c r="D5" s="29" t="s">
        <v>1712</v>
      </c>
      <c r="E5" s="29" t="s">
        <v>1712</v>
      </c>
      <c r="F5" s="29"/>
      <c r="G5" s="29"/>
      <c r="H5" s="29"/>
      <c r="I5" s="29"/>
      <c r="J5" s="13" t="s">
        <v>2908</v>
      </c>
      <c r="K5" s="13" t="s">
        <v>1077</v>
      </c>
      <c r="L5" s="13" t="s">
        <v>2241</v>
      </c>
      <c r="M5" s="15" t="s">
        <v>3560</v>
      </c>
      <c r="N5" s="13" t="s">
        <v>1635</v>
      </c>
      <c r="O5" s="13" t="s">
        <v>1078</v>
      </c>
      <c r="P5" s="29"/>
      <c r="Q5" s="29"/>
      <c r="R5" s="29"/>
      <c r="S5" s="29" t="s">
        <v>1003</v>
      </c>
      <c r="T5" s="29" t="s">
        <v>333</v>
      </c>
      <c r="U5" s="29" t="s">
        <v>2680</v>
      </c>
      <c r="V5" s="29" t="s">
        <v>418</v>
      </c>
      <c r="W5" s="29" t="s">
        <v>377</v>
      </c>
    </row>
    <row r="6" spans="1:23" x14ac:dyDescent="0.25">
      <c r="A6" s="29">
        <v>4</v>
      </c>
      <c r="B6" s="29" t="s">
        <v>206</v>
      </c>
      <c r="C6" s="29" t="s">
        <v>1934</v>
      </c>
      <c r="D6" s="29" t="s">
        <v>1712</v>
      </c>
      <c r="E6" s="29" t="s">
        <v>1712</v>
      </c>
      <c r="F6" s="29"/>
      <c r="G6" s="29"/>
      <c r="H6" s="29"/>
      <c r="I6" s="29"/>
      <c r="J6" s="13" t="s">
        <v>2909</v>
      </c>
      <c r="K6" s="13" t="s">
        <v>1079</v>
      </c>
      <c r="L6" s="13" t="s">
        <v>2242</v>
      </c>
      <c r="M6" s="15" t="s">
        <v>3561</v>
      </c>
      <c r="N6" s="13" t="s">
        <v>1636</v>
      </c>
      <c r="O6" s="13" t="s">
        <v>1080</v>
      </c>
      <c r="P6" s="29"/>
      <c r="Q6" s="29"/>
      <c r="R6" s="29"/>
      <c r="S6" s="29" t="s">
        <v>1034</v>
      </c>
      <c r="T6" s="29" t="s">
        <v>360</v>
      </c>
      <c r="U6" s="29" t="s">
        <v>2681</v>
      </c>
      <c r="V6" s="29" t="s">
        <v>1035</v>
      </c>
      <c r="W6" s="29" t="s">
        <v>1033</v>
      </c>
    </row>
    <row r="7" spans="1:23" x14ac:dyDescent="0.25">
      <c r="A7" s="29">
        <v>5</v>
      </c>
      <c r="B7" s="29" t="s">
        <v>539</v>
      </c>
      <c r="C7" s="29" t="s">
        <v>1935</v>
      </c>
      <c r="D7" s="29" t="s">
        <v>1712</v>
      </c>
      <c r="E7" s="29" t="s">
        <v>1712</v>
      </c>
      <c r="F7" s="29"/>
      <c r="G7" s="29"/>
      <c r="H7" s="29"/>
      <c r="I7" s="29"/>
      <c r="J7" s="13" t="s">
        <v>2910</v>
      </c>
      <c r="K7" s="13" t="s">
        <v>1081</v>
      </c>
      <c r="L7" s="13" t="s">
        <v>2243</v>
      </c>
      <c r="M7" s="15" t="s">
        <v>3562</v>
      </c>
      <c r="N7" s="13" t="s">
        <v>1637</v>
      </c>
      <c r="O7" s="13" t="s">
        <v>1082</v>
      </c>
      <c r="P7" s="29" t="s">
        <v>540</v>
      </c>
      <c r="Q7" s="29" t="s">
        <v>2504</v>
      </c>
      <c r="R7" s="29"/>
      <c r="S7" s="29" t="s">
        <v>541</v>
      </c>
      <c r="T7" s="29" t="s">
        <v>237</v>
      </c>
      <c r="U7" s="29" t="s">
        <v>2682</v>
      </c>
      <c r="V7" s="29" t="s">
        <v>436</v>
      </c>
      <c r="W7" s="29" t="s">
        <v>380</v>
      </c>
    </row>
    <row r="8" spans="1:23" x14ac:dyDescent="0.25">
      <c r="A8" s="29">
        <v>6</v>
      </c>
      <c r="B8" s="29" t="s">
        <v>181</v>
      </c>
      <c r="C8" s="29" t="s">
        <v>1936</v>
      </c>
      <c r="D8" s="29" t="s">
        <v>3563</v>
      </c>
      <c r="E8" s="29" t="s">
        <v>1923</v>
      </c>
      <c r="F8" s="29" t="s">
        <v>3230</v>
      </c>
      <c r="G8" s="29" t="s">
        <v>3231</v>
      </c>
      <c r="H8" s="29" t="s">
        <v>3232</v>
      </c>
      <c r="I8" s="29" t="s">
        <v>3233</v>
      </c>
      <c r="J8" s="13" t="s">
        <v>3234</v>
      </c>
      <c r="K8" s="13" t="s">
        <v>3235</v>
      </c>
      <c r="L8" s="13" t="s">
        <v>3236</v>
      </c>
      <c r="M8" s="15" t="s">
        <v>3564</v>
      </c>
      <c r="N8" s="13" t="s">
        <v>1638</v>
      </c>
      <c r="O8" s="13" t="s">
        <v>1083</v>
      </c>
      <c r="P8" s="29" t="s">
        <v>1054</v>
      </c>
      <c r="Q8" s="29" t="s">
        <v>2505</v>
      </c>
      <c r="R8" s="29" t="s">
        <v>3237</v>
      </c>
      <c r="S8" s="29" t="s">
        <v>1004</v>
      </c>
      <c r="T8" s="29" t="s">
        <v>334</v>
      </c>
      <c r="U8" s="29" t="s">
        <v>2683</v>
      </c>
      <c r="V8" s="29" t="s">
        <v>421</v>
      </c>
      <c r="W8" s="29" t="s">
        <v>375</v>
      </c>
    </row>
    <row r="9" spans="1:23" x14ac:dyDescent="0.25">
      <c r="A9" s="29">
        <v>7</v>
      </c>
      <c r="B9" s="29" t="s">
        <v>168</v>
      </c>
      <c r="C9" s="29" t="s">
        <v>1937</v>
      </c>
      <c r="D9" s="29" t="s">
        <v>1712</v>
      </c>
      <c r="E9" s="29" t="s">
        <v>1712</v>
      </c>
      <c r="F9" s="29"/>
      <c r="G9" s="29"/>
      <c r="H9" s="29"/>
      <c r="I9" s="29"/>
      <c r="J9" s="13" t="s">
        <v>2911</v>
      </c>
      <c r="K9" s="13" t="s">
        <v>1084</v>
      </c>
      <c r="L9" s="13" t="s">
        <v>2244</v>
      </c>
      <c r="M9" s="15" t="s">
        <v>3565</v>
      </c>
      <c r="N9" s="13" t="s">
        <v>1639</v>
      </c>
      <c r="O9" s="13" t="s">
        <v>1085</v>
      </c>
      <c r="P9" s="29"/>
      <c r="Q9" s="29"/>
      <c r="R9" s="29"/>
      <c r="S9" s="29" t="s">
        <v>987</v>
      </c>
      <c r="T9" s="29" t="s">
        <v>340</v>
      </c>
      <c r="U9" s="29" t="s">
        <v>2684</v>
      </c>
      <c r="V9" s="29" t="s">
        <v>470</v>
      </c>
      <c r="W9" s="29" t="s">
        <v>386</v>
      </c>
    </row>
    <row r="10" spans="1:23" x14ac:dyDescent="0.25">
      <c r="A10" s="29">
        <v>8</v>
      </c>
      <c r="B10" s="29" t="s">
        <v>1058</v>
      </c>
      <c r="C10" s="29" t="s">
        <v>1938</v>
      </c>
      <c r="D10" s="29" t="s">
        <v>3566</v>
      </c>
      <c r="E10" s="29" t="s">
        <v>1921</v>
      </c>
      <c r="F10" s="29" t="s">
        <v>3238</v>
      </c>
      <c r="G10" s="29" t="s">
        <v>3239</v>
      </c>
      <c r="H10" s="29" t="s">
        <v>3240</v>
      </c>
      <c r="I10" s="29" t="s">
        <v>3241</v>
      </c>
      <c r="J10" s="13" t="s">
        <v>2912</v>
      </c>
      <c r="K10" s="13" t="s">
        <v>1086</v>
      </c>
      <c r="L10" s="13" t="s">
        <v>2245</v>
      </c>
      <c r="M10" s="15" t="s">
        <v>3567</v>
      </c>
      <c r="N10" s="13" t="s">
        <v>1640</v>
      </c>
      <c r="O10" s="13" t="s">
        <v>1087</v>
      </c>
      <c r="P10" s="29" t="s">
        <v>873</v>
      </c>
      <c r="Q10" s="29" t="s">
        <v>2506</v>
      </c>
      <c r="R10" s="29" t="s">
        <v>3242</v>
      </c>
      <c r="S10" s="29" t="s">
        <v>410</v>
      </c>
      <c r="T10" s="29" t="s">
        <v>4022</v>
      </c>
      <c r="U10" s="29" t="s">
        <v>4023</v>
      </c>
      <c r="V10" s="29" t="s">
        <v>421</v>
      </c>
      <c r="W10" s="29" t="s">
        <v>375</v>
      </c>
    </row>
    <row r="11" spans="1:23" x14ac:dyDescent="0.25">
      <c r="A11" s="29">
        <v>9</v>
      </c>
      <c r="B11" s="29" t="s">
        <v>73</v>
      </c>
      <c r="C11" s="29" t="s">
        <v>1939</v>
      </c>
      <c r="D11" s="29" t="s">
        <v>1712</v>
      </c>
      <c r="E11" s="29" t="s">
        <v>1712</v>
      </c>
      <c r="F11" s="29"/>
      <c r="G11" s="29"/>
      <c r="H11" s="29"/>
      <c r="I11" s="29"/>
      <c r="J11" s="13" t="s">
        <v>1667</v>
      </c>
      <c r="K11" s="13" t="s">
        <v>1667</v>
      </c>
      <c r="L11" s="13" t="s">
        <v>1667</v>
      </c>
      <c r="N11" s="13" t="s">
        <v>1641</v>
      </c>
      <c r="O11" s="13" t="s">
        <v>1088</v>
      </c>
      <c r="P11" s="29" t="s">
        <v>801</v>
      </c>
      <c r="Q11" s="29" t="s">
        <v>2507</v>
      </c>
      <c r="R11" s="29"/>
      <c r="S11" s="29" t="s">
        <v>803</v>
      </c>
      <c r="T11" s="29" t="s">
        <v>277</v>
      </c>
      <c r="U11" s="29" t="s">
        <v>2685</v>
      </c>
      <c r="V11" s="29" t="s">
        <v>804</v>
      </c>
      <c r="W11" s="29" t="s">
        <v>802</v>
      </c>
    </row>
    <row r="12" spans="1:23" x14ac:dyDescent="0.25">
      <c r="A12" s="29">
        <v>10</v>
      </c>
      <c r="B12" s="29" t="s">
        <v>584</v>
      </c>
      <c r="C12" s="29" t="s">
        <v>1940</v>
      </c>
      <c r="D12" s="29" t="s">
        <v>1712</v>
      </c>
      <c r="E12" s="29" t="s">
        <v>1712</v>
      </c>
      <c r="F12" s="29"/>
      <c r="G12" s="29"/>
      <c r="H12" s="29"/>
      <c r="I12" s="29"/>
      <c r="J12" s="13" t="s">
        <v>2913</v>
      </c>
      <c r="K12" s="13" t="s">
        <v>1089</v>
      </c>
      <c r="L12" s="13" t="s">
        <v>2246</v>
      </c>
      <c r="M12" s="15" t="s">
        <v>3568</v>
      </c>
      <c r="N12" s="13" t="s">
        <v>1642</v>
      </c>
      <c r="O12" s="13" t="s">
        <v>1090</v>
      </c>
      <c r="P12" s="29" t="s">
        <v>585</v>
      </c>
      <c r="Q12" s="29" t="s">
        <v>2508</v>
      </c>
      <c r="R12" s="29"/>
      <c r="S12" s="29" t="s">
        <v>586</v>
      </c>
      <c r="T12" s="29" t="s">
        <v>243</v>
      </c>
      <c r="U12" s="29" t="s">
        <v>2686</v>
      </c>
      <c r="V12" s="29" t="s">
        <v>418</v>
      </c>
      <c r="W12" s="29" t="s">
        <v>377</v>
      </c>
    </row>
    <row r="13" spans="1:23" x14ac:dyDescent="0.25">
      <c r="A13" s="29">
        <v>11</v>
      </c>
      <c r="B13" s="29" t="s">
        <v>106</v>
      </c>
      <c r="C13" s="29" t="s">
        <v>1941</v>
      </c>
      <c r="D13" s="29" t="s">
        <v>1712</v>
      </c>
      <c r="E13" s="29" t="s">
        <v>1712</v>
      </c>
      <c r="F13" s="29"/>
      <c r="G13" s="29"/>
      <c r="H13" s="29"/>
      <c r="I13" s="29"/>
      <c r="J13" s="13" t="s">
        <v>2914</v>
      </c>
      <c r="K13" s="13" t="s">
        <v>1091</v>
      </c>
      <c r="L13" s="13" t="s">
        <v>2247</v>
      </c>
      <c r="M13" s="15" t="s">
        <v>3569</v>
      </c>
      <c r="N13" s="13" t="s">
        <v>1643</v>
      </c>
      <c r="O13" s="13" t="s">
        <v>1092</v>
      </c>
      <c r="P13" s="29" t="s">
        <v>674</v>
      </c>
      <c r="Q13" s="29" t="s">
        <v>2509</v>
      </c>
      <c r="R13" s="29"/>
      <c r="S13" s="29" t="s">
        <v>675</v>
      </c>
      <c r="T13" s="29" t="s">
        <v>298</v>
      </c>
      <c r="U13" s="29" t="s">
        <v>2687</v>
      </c>
      <c r="V13" s="29" t="s">
        <v>421</v>
      </c>
      <c r="W13" s="29" t="s">
        <v>375</v>
      </c>
    </row>
    <row r="14" spans="1:23" x14ac:dyDescent="0.25">
      <c r="A14" s="29">
        <v>12</v>
      </c>
      <c r="B14" s="29" t="s">
        <v>194</v>
      </c>
      <c r="C14" s="29" t="s">
        <v>1942</v>
      </c>
      <c r="D14" s="29" t="s">
        <v>3570</v>
      </c>
      <c r="E14" s="29" t="s">
        <v>1922</v>
      </c>
      <c r="F14" s="29" t="s">
        <v>3243</v>
      </c>
      <c r="G14" s="29" t="s">
        <v>3244</v>
      </c>
      <c r="H14" s="29" t="s">
        <v>3245</v>
      </c>
      <c r="I14" s="29" t="s">
        <v>3246</v>
      </c>
      <c r="J14" s="13" t="s">
        <v>2915</v>
      </c>
      <c r="K14" s="13" t="s">
        <v>1093</v>
      </c>
      <c r="L14" s="13" t="s">
        <v>2248</v>
      </c>
      <c r="M14" s="15" t="s">
        <v>3571</v>
      </c>
      <c r="N14" s="13" t="s">
        <v>1644</v>
      </c>
      <c r="O14" s="13" t="s">
        <v>1094</v>
      </c>
      <c r="P14" s="29" t="s">
        <v>618</v>
      </c>
      <c r="Q14" s="29" t="s">
        <v>2510</v>
      </c>
      <c r="R14" s="29" t="s">
        <v>3247</v>
      </c>
      <c r="S14" s="29" t="s">
        <v>619</v>
      </c>
      <c r="T14" s="29" t="s">
        <v>2665</v>
      </c>
      <c r="U14" s="29" t="s">
        <v>3248</v>
      </c>
      <c r="V14" s="29" t="s">
        <v>421</v>
      </c>
      <c r="W14" s="29" t="s">
        <v>375</v>
      </c>
    </row>
    <row r="15" spans="1:23" x14ac:dyDescent="0.25">
      <c r="A15" s="29">
        <v>13</v>
      </c>
      <c r="B15" s="29" t="s">
        <v>576</v>
      </c>
      <c r="C15" s="29" t="s">
        <v>1943</v>
      </c>
      <c r="D15" s="29" t="s">
        <v>3572</v>
      </c>
      <c r="E15" s="29" t="s">
        <v>1922</v>
      </c>
      <c r="F15" s="29" t="s">
        <v>3249</v>
      </c>
      <c r="G15" s="29" t="s">
        <v>3250</v>
      </c>
      <c r="H15" s="29" t="s">
        <v>3251</v>
      </c>
      <c r="I15" s="29" t="s">
        <v>3252</v>
      </c>
      <c r="J15" s="13" t="s">
        <v>2916</v>
      </c>
      <c r="K15" s="13" t="s">
        <v>1095</v>
      </c>
      <c r="L15" s="13" t="s">
        <v>2249</v>
      </c>
      <c r="M15" s="15" t="s">
        <v>3573</v>
      </c>
      <c r="N15" s="13" t="s">
        <v>1645</v>
      </c>
      <c r="O15" s="13" t="s">
        <v>1096</v>
      </c>
      <c r="P15" s="29" t="s">
        <v>577</v>
      </c>
      <c r="Q15" s="29" t="s">
        <v>2511</v>
      </c>
      <c r="R15" s="29" t="s">
        <v>3253</v>
      </c>
      <c r="S15" s="29" t="s">
        <v>578</v>
      </c>
      <c r="T15" s="29" t="s">
        <v>367</v>
      </c>
      <c r="U15" s="29" t="s">
        <v>3254</v>
      </c>
      <c r="V15" s="29" t="s">
        <v>418</v>
      </c>
      <c r="W15" s="29" t="s">
        <v>377</v>
      </c>
    </row>
    <row r="16" spans="1:23" x14ac:dyDescent="0.25">
      <c r="A16" s="29">
        <v>14</v>
      </c>
      <c r="B16" s="29" t="s">
        <v>50</v>
      </c>
      <c r="C16" s="29" t="s">
        <v>1944</v>
      </c>
      <c r="D16" s="29" t="s">
        <v>1712</v>
      </c>
      <c r="E16" s="29" t="s">
        <v>1712</v>
      </c>
      <c r="F16" s="29"/>
      <c r="G16" s="29"/>
      <c r="H16" s="29"/>
      <c r="I16" s="29"/>
      <c r="J16" s="13" t="s">
        <v>2917</v>
      </c>
      <c r="K16" s="13" t="s">
        <v>1097</v>
      </c>
      <c r="L16" s="13" t="s">
        <v>2250</v>
      </c>
      <c r="N16" s="13" t="s">
        <v>1646</v>
      </c>
      <c r="O16" s="13" t="s">
        <v>1098</v>
      </c>
      <c r="P16" s="29" t="s">
        <v>755</v>
      </c>
      <c r="Q16" s="29" t="s">
        <v>2512</v>
      </c>
      <c r="R16" s="29"/>
      <c r="S16" s="29" t="s">
        <v>757</v>
      </c>
      <c r="T16" s="29" t="s">
        <v>265</v>
      </c>
      <c r="U16" s="29" t="s">
        <v>2689</v>
      </c>
      <c r="V16" s="29" t="s">
        <v>758</v>
      </c>
      <c r="W16" s="29" t="s">
        <v>756</v>
      </c>
    </row>
    <row r="17" spans="1:23" x14ac:dyDescent="0.25">
      <c r="A17" s="29">
        <v>15</v>
      </c>
      <c r="B17" s="29" t="s">
        <v>200</v>
      </c>
      <c r="C17" s="29" t="s">
        <v>1945</v>
      </c>
      <c r="D17" s="29" t="s">
        <v>1712</v>
      </c>
      <c r="E17" s="29" t="s">
        <v>1712</v>
      </c>
      <c r="F17" s="29"/>
      <c r="G17" s="29"/>
      <c r="H17" s="29"/>
      <c r="I17" s="29"/>
      <c r="J17" s="13" t="s">
        <v>2918</v>
      </c>
      <c r="K17" s="13" t="s">
        <v>1099</v>
      </c>
      <c r="L17" s="13" t="s">
        <v>2251</v>
      </c>
      <c r="M17" s="15" t="s">
        <v>3574</v>
      </c>
      <c r="N17" s="13" t="s">
        <v>1647</v>
      </c>
      <c r="O17" s="13" t="s">
        <v>1100</v>
      </c>
      <c r="P17" s="29"/>
      <c r="Q17" s="29"/>
      <c r="R17" s="29"/>
      <c r="S17" s="29" t="s">
        <v>1025</v>
      </c>
      <c r="T17" s="29" t="s">
        <v>354</v>
      </c>
      <c r="U17" s="29" t="s">
        <v>2690</v>
      </c>
      <c r="V17" s="29" t="s">
        <v>853</v>
      </c>
      <c r="W17" s="29" t="s">
        <v>851</v>
      </c>
    </row>
    <row r="18" spans="1:23" x14ac:dyDescent="0.25">
      <c r="A18" s="29">
        <v>16</v>
      </c>
      <c r="B18" s="29" t="s">
        <v>471</v>
      </c>
      <c r="C18" s="29" t="s">
        <v>1946</v>
      </c>
      <c r="D18" s="29" t="s">
        <v>1712</v>
      </c>
      <c r="E18" s="29" t="s">
        <v>1712</v>
      </c>
      <c r="F18" s="29"/>
      <c r="G18" s="29"/>
      <c r="H18" s="29"/>
      <c r="I18" s="29"/>
      <c r="J18" s="13" t="s">
        <v>2919</v>
      </c>
      <c r="K18" s="13" t="s">
        <v>1101</v>
      </c>
      <c r="L18" s="13" t="s">
        <v>2252</v>
      </c>
      <c r="M18" s="15" t="s">
        <v>3575</v>
      </c>
      <c r="N18" s="13" t="s">
        <v>1648</v>
      </c>
      <c r="O18" s="13" t="s">
        <v>1102</v>
      </c>
      <c r="P18" s="29" t="s">
        <v>472</v>
      </c>
      <c r="Q18" s="29" t="s">
        <v>2513</v>
      </c>
      <c r="R18" s="29"/>
      <c r="S18" s="29" t="s">
        <v>473</v>
      </c>
      <c r="T18" s="29" t="s">
        <v>226</v>
      </c>
      <c r="U18" s="29" t="s">
        <v>2691</v>
      </c>
      <c r="V18" s="29" t="s">
        <v>474</v>
      </c>
      <c r="W18" s="29" t="s">
        <v>387</v>
      </c>
    </row>
    <row r="19" spans="1:23" x14ac:dyDescent="0.25">
      <c r="A19" s="29">
        <v>17</v>
      </c>
      <c r="B19" s="29" t="s">
        <v>123</v>
      </c>
      <c r="C19" s="29" t="s">
        <v>1947</v>
      </c>
      <c r="D19" s="29" t="s">
        <v>3576</v>
      </c>
      <c r="E19" s="29" t="s">
        <v>1921</v>
      </c>
      <c r="F19" s="29"/>
      <c r="G19" s="29"/>
      <c r="H19" s="29"/>
      <c r="I19" s="29"/>
      <c r="J19" s="13" t="s">
        <v>2920</v>
      </c>
      <c r="K19" s="13" t="s">
        <v>1103</v>
      </c>
      <c r="L19" s="13" t="s">
        <v>2253</v>
      </c>
      <c r="M19" s="15" t="s">
        <v>3577</v>
      </c>
      <c r="N19" s="13" t="s">
        <v>1649</v>
      </c>
      <c r="O19" s="13" t="s">
        <v>1104</v>
      </c>
      <c r="P19" s="29" t="s">
        <v>915</v>
      </c>
      <c r="Q19" s="29" t="s">
        <v>2514</v>
      </c>
      <c r="R19" s="29"/>
      <c r="S19" s="29" t="s">
        <v>917</v>
      </c>
      <c r="T19" s="29" t="s">
        <v>4024</v>
      </c>
      <c r="U19" s="29" t="s">
        <v>4025</v>
      </c>
      <c r="V19" s="29" t="s">
        <v>918</v>
      </c>
      <c r="W19" s="29" t="s">
        <v>916</v>
      </c>
    </row>
    <row r="20" spans="1:23" x14ac:dyDescent="0.25">
      <c r="A20" s="29">
        <v>18</v>
      </c>
      <c r="B20" s="29" t="s">
        <v>501</v>
      </c>
      <c r="C20" s="29" t="s">
        <v>1948</v>
      </c>
      <c r="D20" s="29" t="s">
        <v>3578</v>
      </c>
      <c r="E20" s="29" t="s">
        <v>1924</v>
      </c>
      <c r="F20" s="29"/>
      <c r="G20" s="29"/>
      <c r="H20" s="29"/>
      <c r="I20" s="29"/>
      <c r="J20" s="13" t="s">
        <v>2921</v>
      </c>
      <c r="K20" s="13" t="s">
        <v>1105</v>
      </c>
      <c r="L20" s="13" t="s">
        <v>2254</v>
      </c>
      <c r="M20" s="15" t="s">
        <v>3579</v>
      </c>
      <c r="N20" s="13" t="s">
        <v>1650</v>
      </c>
      <c r="O20" s="13" t="s">
        <v>1106</v>
      </c>
      <c r="P20" s="29"/>
      <c r="Q20" s="29"/>
      <c r="R20" s="29"/>
      <c r="S20" s="29" t="s">
        <v>502</v>
      </c>
      <c r="T20" s="29" t="s">
        <v>4026</v>
      </c>
      <c r="U20" s="29" t="s">
        <v>4027</v>
      </c>
      <c r="V20" s="29" t="s">
        <v>503</v>
      </c>
      <c r="W20" s="29" t="s">
        <v>390</v>
      </c>
    </row>
    <row r="21" spans="1:23" x14ac:dyDescent="0.25">
      <c r="A21" s="29">
        <v>19</v>
      </c>
      <c r="B21" s="29" t="s">
        <v>61</v>
      </c>
      <c r="C21" s="29" t="s">
        <v>1949</v>
      </c>
      <c r="D21" s="29" t="s">
        <v>1712</v>
      </c>
      <c r="E21" s="29" t="s">
        <v>1712</v>
      </c>
      <c r="F21" s="29"/>
      <c r="G21" s="29"/>
      <c r="H21" s="29"/>
      <c r="I21" s="29"/>
      <c r="J21" s="13" t="s">
        <v>2922</v>
      </c>
      <c r="K21" s="13" t="s">
        <v>1107</v>
      </c>
      <c r="L21" s="13" t="s">
        <v>2255</v>
      </c>
      <c r="M21" s="15" t="s">
        <v>3580</v>
      </c>
      <c r="N21" s="13" t="s">
        <v>1651</v>
      </c>
      <c r="O21" s="13" t="s">
        <v>1108</v>
      </c>
      <c r="P21" s="29" t="s">
        <v>776</v>
      </c>
      <c r="Q21" s="29" t="s">
        <v>2515</v>
      </c>
      <c r="R21" s="29"/>
      <c r="S21" s="29" t="s">
        <v>777</v>
      </c>
      <c r="T21" s="29" t="s">
        <v>270</v>
      </c>
      <c r="U21" s="29" t="s">
        <v>2692</v>
      </c>
      <c r="V21" s="29" t="s">
        <v>699</v>
      </c>
      <c r="W21" s="29" t="s">
        <v>697</v>
      </c>
    </row>
    <row r="22" spans="1:23" x14ac:dyDescent="0.25">
      <c r="A22" s="29">
        <v>20</v>
      </c>
      <c r="B22" s="29" t="s">
        <v>542</v>
      </c>
      <c r="C22" s="29" t="s">
        <v>1950</v>
      </c>
      <c r="D22" s="29" t="s">
        <v>1712</v>
      </c>
      <c r="E22" s="29" t="s">
        <v>1712</v>
      </c>
      <c r="F22" s="29"/>
      <c r="G22" s="29"/>
      <c r="H22" s="29"/>
      <c r="I22" s="29"/>
      <c r="J22" s="13" t="s">
        <v>2923</v>
      </c>
      <c r="K22" s="13" t="s">
        <v>1109</v>
      </c>
      <c r="L22" s="13" t="s">
        <v>2256</v>
      </c>
      <c r="M22" s="15" t="s">
        <v>3581</v>
      </c>
      <c r="N22" s="13" t="s">
        <v>1652</v>
      </c>
      <c r="O22" s="13" t="s">
        <v>1110</v>
      </c>
      <c r="P22" s="29"/>
      <c r="Q22" s="29"/>
      <c r="R22" s="29"/>
      <c r="S22" s="29" t="s">
        <v>543</v>
      </c>
      <c r="T22" s="29" t="s">
        <v>238</v>
      </c>
      <c r="U22" s="29" t="s">
        <v>2693</v>
      </c>
      <c r="V22" s="29" t="s">
        <v>544</v>
      </c>
      <c r="W22" s="29" t="s">
        <v>396</v>
      </c>
    </row>
    <row r="23" spans="1:23" x14ac:dyDescent="0.25">
      <c r="A23" s="29">
        <v>21</v>
      </c>
      <c r="B23" s="29" t="s">
        <v>211</v>
      </c>
      <c r="C23" s="29" t="s">
        <v>1951</v>
      </c>
      <c r="D23" s="29" t="s">
        <v>1712</v>
      </c>
      <c r="E23" s="29" t="s">
        <v>1712</v>
      </c>
      <c r="F23" s="29"/>
      <c r="G23" s="29"/>
      <c r="H23" s="29"/>
      <c r="I23" s="29"/>
      <c r="J23" s="13" t="s">
        <v>2924</v>
      </c>
      <c r="K23" s="13" t="s">
        <v>1111</v>
      </c>
      <c r="L23" s="13" t="s">
        <v>2257</v>
      </c>
      <c r="M23" s="15" t="s">
        <v>3582</v>
      </c>
      <c r="N23" s="13" t="s">
        <v>1653</v>
      </c>
      <c r="O23" s="13" t="s">
        <v>1112</v>
      </c>
      <c r="P23" s="29"/>
      <c r="Q23" s="29"/>
      <c r="R23" s="29"/>
      <c r="S23" s="29" t="s">
        <v>492</v>
      </c>
      <c r="T23" s="29" t="s">
        <v>364</v>
      </c>
      <c r="U23" s="29" t="s">
        <v>2694</v>
      </c>
      <c r="V23" s="29" t="s">
        <v>466</v>
      </c>
      <c r="W23" s="29" t="s">
        <v>385</v>
      </c>
    </row>
    <row r="24" spans="1:23" x14ac:dyDescent="0.25">
      <c r="A24" s="29">
        <v>22</v>
      </c>
      <c r="B24" s="29" t="s">
        <v>68</v>
      </c>
      <c r="C24" s="29" t="s">
        <v>1952</v>
      </c>
      <c r="D24" s="29" t="s">
        <v>1712</v>
      </c>
      <c r="E24" s="29" t="s">
        <v>1712</v>
      </c>
      <c r="F24" s="29"/>
      <c r="G24" s="29"/>
      <c r="H24" s="29"/>
      <c r="I24" s="29"/>
      <c r="J24" s="13" t="s">
        <v>2925</v>
      </c>
      <c r="K24" s="13" t="s">
        <v>1113</v>
      </c>
      <c r="L24" s="13" t="s">
        <v>2258</v>
      </c>
      <c r="M24" s="15" t="s">
        <v>3583</v>
      </c>
      <c r="N24" s="13" t="s">
        <v>1654</v>
      </c>
      <c r="O24" s="13" t="s">
        <v>1114</v>
      </c>
      <c r="P24" s="29" t="s">
        <v>789</v>
      </c>
      <c r="Q24" s="29" t="s">
        <v>2516</v>
      </c>
      <c r="R24" s="29"/>
      <c r="S24" s="29" t="s">
        <v>790</v>
      </c>
      <c r="T24" s="29" t="s">
        <v>272</v>
      </c>
      <c r="U24" s="29" t="s">
        <v>2695</v>
      </c>
      <c r="V24" s="29" t="s">
        <v>627</v>
      </c>
      <c r="W24" s="29" t="s">
        <v>626</v>
      </c>
    </row>
    <row r="25" spans="1:23" x14ac:dyDescent="0.25">
      <c r="A25" s="29">
        <v>23</v>
      </c>
      <c r="B25" s="29" t="s">
        <v>494</v>
      </c>
      <c r="C25" s="29" t="s">
        <v>1953</v>
      </c>
      <c r="D25" s="29" t="s">
        <v>1712</v>
      </c>
      <c r="E25" s="29" t="s">
        <v>1712</v>
      </c>
      <c r="F25" s="29"/>
      <c r="G25" s="29"/>
      <c r="H25" s="29"/>
      <c r="I25" s="29"/>
      <c r="J25" s="13" t="s">
        <v>2926</v>
      </c>
      <c r="K25" s="13" t="s">
        <v>1115</v>
      </c>
      <c r="L25" s="13" t="s">
        <v>2259</v>
      </c>
      <c r="M25" s="15" t="s">
        <v>3584</v>
      </c>
      <c r="N25" s="13" t="s">
        <v>1655</v>
      </c>
      <c r="O25" s="13" t="s">
        <v>1116</v>
      </c>
      <c r="P25" s="29" t="s">
        <v>495</v>
      </c>
      <c r="Q25" s="29" t="s">
        <v>2517</v>
      </c>
      <c r="R25" s="29"/>
      <c r="S25" s="29" t="s">
        <v>496</v>
      </c>
      <c r="T25" s="29" t="s">
        <v>232</v>
      </c>
      <c r="U25" s="29" t="s">
        <v>2696</v>
      </c>
      <c r="V25" s="29" t="s">
        <v>421</v>
      </c>
      <c r="W25" s="29" t="s">
        <v>375</v>
      </c>
    </row>
    <row r="26" spans="1:23" x14ac:dyDescent="0.25">
      <c r="A26" s="29">
        <v>24</v>
      </c>
      <c r="B26" s="29" t="s">
        <v>647</v>
      </c>
      <c r="C26" s="29" t="s">
        <v>1954</v>
      </c>
      <c r="D26" s="29" t="s">
        <v>3585</v>
      </c>
      <c r="E26" s="29" t="s">
        <v>1924</v>
      </c>
      <c r="F26" s="29"/>
      <c r="G26" s="29"/>
      <c r="H26" s="29"/>
      <c r="I26" s="29"/>
      <c r="J26" s="13" t="s">
        <v>2927</v>
      </c>
      <c r="K26" s="13" t="s">
        <v>1117</v>
      </c>
      <c r="L26" s="13" t="s">
        <v>2260</v>
      </c>
      <c r="M26" s="15" t="s">
        <v>3586</v>
      </c>
      <c r="N26" s="13" t="s">
        <v>1656</v>
      </c>
      <c r="O26" s="13" t="s">
        <v>1118</v>
      </c>
      <c r="P26" s="29"/>
      <c r="Q26" s="29"/>
      <c r="R26" s="29"/>
      <c r="S26" s="29" t="s">
        <v>648</v>
      </c>
      <c r="T26" s="29" t="s">
        <v>2665</v>
      </c>
      <c r="U26" s="29" t="s">
        <v>3248</v>
      </c>
      <c r="V26" s="29" t="s">
        <v>421</v>
      </c>
      <c r="W26" s="29" t="s">
        <v>375</v>
      </c>
    </row>
    <row r="27" spans="1:23" x14ac:dyDescent="0.25">
      <c r="A27" s="29">
        <v>25</v>
      </c>
      <c r="B27" s="29" t="s">
        <v>108</v>
      </c>
      <c r="C27" s="29" t="s">
        <v>1955</v>
      </c>
      <c r="D27" s="29" t="s">
        <v>1712</v>
      </c>
      <c r="E27" s="29" t="s">
        <v>1712</v>
      </c>
      <c r="F27" s="29"/>
      <c r="G27" s="29"/>
      <c r="H27" s="29"/>
      <c r="I27" s="29"/>
      <c r="J27" s="13" t="s">
        <v>2928</v>
      </c>
      <c r="K27" s="13" t="s">
        <v>1119</v>
      </c>
      <c r="L27" s="13" t="s">
        <v>2261</v>
      </c>
      <c r="M27" s="15" t="s">
        <v>3587</v>
      </c>
      <c r="N27" s="13" t="s">
        <v>1657</v>
      </c>
      <c r="O27" s="13" t="s">
        <v>1120</v>
      </c>
      <c r="P27" s="29" t="s">
        <v>878</v>
      </c>
      <c r="Q27" s="29" t="s">
        <v>2518</v>
      </c>
      <c r="R27" s="29"/>
      <c r="S27" s="29" t="s">
        <v>492</v>
      </c>
      <c r="T27" s="29" t="s">
        <v>299</v>
      </c>
      <c r="U27" s="29" t="s">
        <v>2697</v>
      </c>
      <c r="V27" s="29" t="s">
        <v>466</v>
      </c>
      <c r="W27" s="29" t="s">
        <v>385</v>
      </c>
    </row>
    <row r="28" spans="1:23" x14ac:dyDescent="0.25">
      <c r="A28" s="29">
        <v>26</v>
      </c>
      <c r="B28" s="29" t="s">
        <v>140</v>
      </c>
      <c r="C28" s="29" t="s">
        <v>1956</v>
      </c>
      <c r="D28" s="29" t="s">
        <v>1712</v>
      </c>
      <c r="E28" s="29" t="s">
        <v>1712</v>
      </c>
      <c r="F28" s="29"/>
      <c r="G28" s="29"/>
      <c r="H28" s="29"/>
      <c r="I28" s="29"/>
      <c r="J28" s="13" t="s">
        <v>2929</v>
      </c>
      <c r="K28" s="13" t="s">
        <v>1121</v>
      </c>
      <c r="L28" s="13" t="s">
        <v>2262</v>
      </c>
      <c r="M28" s="15" t="s">
        <v>3588</v>
      </c>
      <c r="N28" s="13" t="s">
        <v>1658</v>
      </c>
      <c r="O28" s="13" t="s">
        <v>1122</v>
      </c>
      <c r="P28" s="29" t="s">
        <v>956</v>
      </c>
      <c r="Q28" s="29" t="s">
        <v>2519</v>
      </c>
      <c r="R28" s="29"/>
      <c r="S28" s="29" t="s">
        <v>957</v>
      </c>
      <c r="T28" s="29" t="s">
        <v>322</v>
      </c>
      <c r="U28" s="29" t="s">
        <v>2698</v>
      </c>
      <c r="V28" s="29" t="s">
        <v>673</v>
      </c>
      <c r="W28" s="29" t="s">
        <v>671</v>
      </c>
    </row>
    <row r="29" spans="1:23" x14ac:dyDescent="0.25">
      <c r="A29" s="29">
        <v>304</v>
      </c>
      <c r="B29" s="29" t="s">
        <v>3533</v>
      </c>
      <c r="C29" s="29" t="s">
        <v>3534</v>
      </c>
      <c r="D29" s="29" t="s">
        <v>3556</v>
      </c>
      <c r="E29" s="29" t="s">
        <v>1921</v>
      </c>
      <c r="F29" s="29" t="s">
        <v>3535</v>
      </c>
      <c r="G29" s="29" t="s">
        <v>3536</v>
      </c>
      <c r="H29" s="29" t="s">
        <v>3421</v>
      </c>
      <c r="I29" s="29" t="s">
        <v>3422</v>
      </c>
      <c r="J29" s="13" t="s">
        <v>3537</v>
      </c>
      <c r="K29" s="13" t="s">
        <v>3538</v>
      </c>
      <c r="L29" s="13" t="s">
        <v>3539</v>
      </c>
      <c r="M29" s="15" t="s">
        <v>3860</v>
      </c>
      <c r="N29" s="13" t="s">
        <v>3540</v>
      </c>
      <c r="O29" s="13" t="s">
        <v>3541</v>
      </c>
      <c r="P29" s="29" t="s">
        <v>3542</v>
      </c>
      <c r="Q29" s="29" t="s">
        <v>3543</v>
      </c>
      <c r="R29" s="29" t="s">
        <v>3861</v>
      </c>
      <c r="S29" s="29" t="s">
        <v>3544</v>
      </c>
      <c r="T29" s="29" t="s">
        <v>333</v>
      </c>
      <c r="U29" s="29" t="s">
        <v>3545</v>
      </c>
      <c r="V29" s="29" t="s">
        <v>418</v>
      </c>
      <c r="W29" s="29" t="s">
        <v>377</v>
      </c>
    </row>
    <row r="30" spans="1:23" x14ac:dyDescent="0.25">
      <c r="A30" s="29">
        <v>27</v>
      </c>
      <c r="B30" s="29" t="s">
        <v>180</v>
      </c>
      <c r="C30" s="29" t="s">
        <v>1957</v>
      </c>
      <c r="D30" s="29" t="s">
        <v>1712</v>
      </c>
      <c r="E30" s="29" t="s">
        <v>1712</v>
      </c>
      <c r="F30" s="29"/>
      <c r="G30" s="29"/>
      <c r="H30" s="29"/>
      <c r="I30" s="29"/>
      <c r="J30" s="13" t="s">
        <v>2930</v>
      </c>
      <c r="K30" s="13" t="s">
        <v>1123</v>
      </c>
      <c r="L30" s="13" t="s">
        <v>2263</v>
      </c>
      <c r="M30" s="15" t="s">
        <v>3589</v>
      </c>
      <c r="N30" s="13" t="s">
        <v>1659</v>
      </c>
      <c r="O30" s="13" t="s">
        <v>1124</v>
      </c>
      <c r="P30" s="29"/>
      <c r="Q30" s="29"/>
      <c r="R30" s="29"/>
      <c r="S30" s="29" t="s">
        <v>1001</v>
      </c>
      <c r="T30" s="29" t="s">
        <v>346</v>
      </c>
      <c r="U30" s="29" t="s">
        <v>2699</v>
      </c>
      <c r="V30" s="29" t="s">
        <v>1002</v>
      </c>
      <c r="W30" s="29" t="s">
        <v>1000</v>
      </c>
    </row>
    <row r="31" spans="1:23" x14ac:dyDescent="0.25">
      <c r="A31" s="29">
        <v>312</v>
      </c>
      <c r="B31" s="29" t="s">
        <v>4186</v>
      </c>
      <c r="C31" s="29" t="s">
        <v>4187</v>
      </c>
      <c r="D31" s="29" t="s">
        <v>3629</v>
      </c>
      <c r="E31" s="29" t="s">
        <v>1921</v>
      </c>
      <c r="F31" s="29" t="s">
        <v>4188</v>
      </c>
      <c r="G31" s="29" t="s">
        <v>4189</v>
      </c>
      <c r="H31" s="29" t="s">
        <v>4190</v>
      </c>
      <c r="I31" s="29" t="s">
        <v>4191</v>
      </c>
      <c r="J31" s="13" t="s">
        <v>4192</v>
      </c>
      <c r="K31" s="13" t="s">
        <v>4193</v>
      </c>
      <c r="L31" s="13" t="s">
        <v>4194</v>
      </c>
      <c r="M31" s="15" t="s">
        <v>4195</v>
      </c>
      <c r="N31" s="13" t="s">
        <v>4196</v>
      </c>
      <c r="O31" s="13" t="s">
        <v>4197</v>
      </c>
      <c r="P31" s="29" t="s">
        <v>4198</v>
      </c>
      <c r="Q31" s="29" t="s">
        <v>4199</v>
      </c>
      <c r="R31" s="29" t="s">
        <v>4200</v>
      </c>
      <c r="S31" s="29" t="s">
        <v>4201</v>
      </c>
      <c r="T31" s="29" t="s">
        <v>4202</v>
      </c>
      <c r="U31" s="29" t="s">
        <v>4203</v>
      </c>
      <c r="V31" s="29" t="s">
        <v>402</v>
      </c>
      <c r="W31" s="29" t="s">
        <v>374</v>
      </c>
    </row>
    <row r="32" spans="1:23" x14ac:dyDescent="0.25">
      <c r="A32" s="29">
        <v>28</v>
      </c>
      <c r="B32" s="29" t="s">
        <v>55</v>
      </c>
      <c r="C32" s="29" t="s">
        <v>1958</v>
      </c>
      <c r="D32" s="29" t="s">
        <v>1712</v>
      </c>
      <c r="E32" s="29" t="s">
        <v>1712</v>
      </c>
      <c r="F32" s="29"/>
      <c r="G32" s="29"/>
      <c r="H32" s="29"/>
      <c r="I32" s="29"/>
      <c r="J32" s="13" t="s">
        <v>2931</v>
      </c>
      <c r="K32" s="13" t="s">
        <v>1125</v>
      </c>
      <c r="L32" s="13" t="s">
        <v>2264</v>
      </c>
      <c r="M32" s="15" t="s">
        <v>3590</v>
      </c>
      <c r="N32" s="13" t="s">
        <v>1660</v>
      </c>
      <c r="O32" s="13" t="s">
        <v>1126</v>
      </c>
      <c r="P32" s="29"/>
      <c r="Q32" s="29"/>
      <c r="R32" s="29"/>
      <c r="S32" s="29" t="s">
        <v>770</v>
      </c>
      <c r="T32" s="29" t="s">
        <v>249</v>
      </c>
      <c r="U32" s="29" t="s">
        <v>2700</v>
      </c>
      <c r="V32" s="29" t="s">
        <v>625</v>
      </c>
      <c r="W32" s="29" t="s">
        <v>624</v>
      </c>
    </row>
    <row r="33" spans="1:23" x14ac:dyDescent="0.25">
      <c r="A33" s="29">
        <v>29</v>
      </c>
      <c r="B33" s="29" t="s">
        <v>1059</v>
      </c>
      <c r="C33" s="29" t="s">
        <v>1959</v>
      </c>
      <c r="D33" s="29" t="s">
        <v>1712</v>
      </c>
      <c r="E33" s="29" t="s">
        <v>1712</v>
      </c>
      <c r="F33" s="29"/>
      <c r="G33" s="29"/>
      <c r="H33" s="29"/>
      <c r="I33" s="29"/>
      <c r="J33" s="13" t="s">
        <v>2932</v>
      </c>
      <c r="K33" s="13" t="s">
        <v>1127</v>
      </c>
      <c r="L33" s="13" t="s">
        <v>2265</v>
      </c>
      <c r="M33" s="15" t="s">
        <v>3591</v>
      </c>
      <c r="N33" s="13" t="s">
        <v>1661</v>
      </c>
      <c r="O33" s="13" t="s">
        <v>1128</v>
      </c>
      <c r="P33" s="29" t="s">
        <v>587</v>
      </c>
      <c r="Q33" s="29" t="s">
        <v>2520</v>
      </c>
      <c r="R33" s="29"/>
      <c r="S33" s="29" t="s">
        <v>901</v>
      </c>
      <c r="T33" s="29" t="s">
        <v>267</v>
      </c>
      <c r="U33" s="29" t="s">
        <v>2606</v>
      </c>
      <c r="V33" s="29" t="s">
        <v>421</v>
      </c>
      <c r="W33" s="29" t="s">
        <v>375</v>
      </c>
    </row>
    <row r="34" spans="1:23" x14ac:dyDescent="0.25">
      <c r="A34" s="29">
        <v>30</v>
      </c>
      <c r="B34" s="29" t="s">
        <v>83</v>
      </c>
      <c r="C34" s="29" t="s">
        <v>1960</v>
      </c>
      <c r="D34" s="29" t="s">
        <v>1712</v>
      </c>
      <c r="E34" s="29" t="s">
        <v>1712</v>
      </c>
      <c r="F34" s="29"/>
      <c r="G34" s="29"/>
      <c r="H34" s="29"/>
      <c r="I34" s="29"/>
      <c r="J34" s="13" t="s">
        <v>2933</v>
      </c>
      <c r="K34" s="13" t="s">
        <v>1129</v>
      </c>
      <c r="L34" s="13" t="s">
        <v>2266</v>
      </c>
      <c r="M34" s="15" t="s">
        <v>3592</v>
      </c>
      <c r="N34" s="13" t="s">
        <v>1662</v>
      </c>
      <c r="O34" s="13" t="s">
        <v>1130</v>
      </c>
      <c r="P34" s="29" t="s">
        <v>825</v>
      </c>
      <c r="Q34" s="29" t="s">
        <v>2521</v>
      </c>
      <c r="R34" s="29"/>
      <c r="S34" s="29" t="s">
        <v>826</v>
      </c>
      <c r="T34" s="29" t="s">
        <v>367</v>
      </c>
      <c r="U34" s="29" t="s">
        <v>2688</v>
      </c>
      <c r="V34" s="29" t="s">
        <v>418</v>
      </c>
      <c r="W34" s="29" t="s">
        <v>377</v>
      </c>
    </row>
    <row r="35" spans="1:23" x14ac:dyDescent="0.25">
      <c r="A35" s="29">
        <v>31</v>
      </c>
      <c r="B35" s="29" t="s">
        <v>148</v>
      </c>
      <c r="C35" s="29" t="s">
        <v>1961</v>
      </c>
      <c r="D35" s="29" t="s">
        <v>1712</v>
      </c>
      <c r="E35" s="29" t="s">
        <v>1712</v>
      </c>
      <c r="F35" s="29"/>
      <c r="G35" s="29"/>
      <c r="H35" s="29"/>
      <c r="I35" s="29"/>
      <c r="J35" s="13" t="s">
        <v>3168</v>
      </c>
      <c r="K35" s="13" t="s">
        <v>1131</v>
      </c>
      <c r="L35" s="13" t="s">
        <v>2267</v>
      </c>
      <c r="M35" s="15" t="s">
        <v>3593</v>
      </c>
      <c r="N35" s="13" t="s">
        <v>1663</v>
      </c>
      <c r="O35" s="13" t="s">
        <v>1132</v>
      </c>
      <c r="P35" s="29"/>
      <c r="Q35" s="29"/>
      <c r="R35" s="29"/>
      <c r="S35" s="29" t="s">
        <v>968</v>
      </c>
      <c r="T35" s="29" t="s">
        <v>329</v>
      </c>
      <c r="U35" s="29" t="s">
        <v>2701</v>
      </c>
      <c r="V35" s="29" t="s">
        <v>438</v>
      </c>
      <c r="W35" s="29" t="s">
        <v>381</v>
      </c>
    </row>
    <row r="36" spans="1:23" x14ac:dyDescent="0.25">
      <c r="A36" s="29">
        <v>32</v>
      </c>
      <c r="B36" s="29" t="s">
        <v>1060</v>
      </c>
      <c r="C36" s="29" t="s">
        <v>1962</v>
      </c>
      <c r="D36" s="29" t="s">
        <v>3594</v>
      </c>
      <c r="E36" s="29" t="s">
        <v>1923</v>
      </c>
      <c r="F36" s="29"/>
      <c r="G36" s="29"/>
      <c r="H36" s="29"/>
      <c r="I36" s="29"/>
      <c r="J36" s="13" t="s">
        <v>1667</v>
      </c>
      <c r="K36" s="13" t="s">
        <v>1667</v>
      </c>
      <c r="L36" s="13" t="s">
        <v>1667</v>
      </c>
      <c r="N36" s="13" t="s">
        <v>1664</v>
      </c>
      <c r="O36" s="13" t="s">
        <v>1133</v>
      </c>
      <c r="P36" s="29"/>
      <c r="Q36" s="29"/>
      <c r="R36" s="29"/>
      <c r="S36" s="29" t="s">
        <v>516</v>
      </c>
      <c r="T36" s="29" t="s">
        <v>2665</v>
      </c>
      <c r="U36" s="29" t="s">
        <v>3248</v>
      </c>
      <c r="V36" s="29" t="s">
        <v>421</v>
      </c>
      <c r="W36" s="29" t="s">
        <v>375</v>
      </c>
    </row>
    <row r="37" spans="1:23" x14ac:dyDescent="0.25">
      <c r="A37" s="29">
        <v>33</v>
      </c>
      <c r="B37" s="29" t="s">
        <v>433</v>
      </c>
      <c r="C37" s="29" t="s">
        <v>1963</v>
      </c>
      <c r="D37" s="29" t="s">
        <v>3576</v>
      </c>
      <c r="E37" s="29" t="s">
        <v>1921</v>
      </c>
      <c r="F37" s="29"/>
      <c r="G37" s="29"/>
      <c r="H37" s="29"/>
      <c r="I37" s="29"/>
      <c r="J37" s="13" t="s">
        <v>2934</v>
      </c>
      <c r="K37" s="13" t="s">
        <v>1134</v>
      </c>
      <c r="L37" s="13" t="s">
        <v>2268</v>
      </c>
      <c r="M37" s="15" t="s">
        <v>3595</v>
      </c>
      <c r="N37" s="13" t="s">
        <v>1665</v>
      </c>
      <c r="O37" s="13" t="s">
        <v>1135</v>
      </c>
      <c r="P37" s="29" t="s">
        <v>434</v>
      </c>
      <c r="Q37" s="29" t="s">
        <v>2522</v>
      </c>
      <c r="R37" s="29"/>
      <c r="S37" s="29" t="s">
        <v>435</v>
      </c>
      <c r="T37" s="29" t="s">
        <v>4028</v>
      </c>
      <c r="U37" s="29" t="s">
        <v>4029</v>
      </c>
      <c r="V37" s="29" t="s">
        <v>436</v>
      </c>
      <c r="W37" s="29" t="s">
        <v>380</v>
      </c>
    </row>
    <row r="38" spans="1:23" x14ac:dyDescent="0.25">
      <c r="A38" s="29">
        <v>34</v>
      </c>
      <c r="B38" s="29" t="s">
        <v>121</v>
      </c>
      <c r="C38" s="29" t="s">
        <v>1964</v>
      </c>
      <c r="D38" s="29" t="s">
        <v>3596</v>
      </c>
      <c r="E38" s="29" t="s">
        <v>1922</v>
      </c>
      <c r="F38" s="29"/>
      <c r="G38" s="29"/>
      <c r="H38" s="29"/>
      <c r="I38" s="29"/>
      <c r="J38" s="13" t="s">
        <v>2935</v>
      </c>
      <c r="K38" s="13" t="s">
        <v>1136</v>
      </c>
      <c r="L38" s="13" t="s">
        <v>2269</v>
      </c>
      <c r="M38" s="15" t="s">
        <v>3597</v>
      </c>
      <c r="N38" s="13" t="s">
        <v>1666</v>
      </c>
      <c r="O38" s="13" t="s">
        <v>1137</v>
      </c>
      <c r="P38" s="29" t="s">
        <v>911</v>
      </c>
      <c r="Q38" s="29" t="s">
        <v>2523</v>
      </c>
      <c r="R38" s="29"/>
      <c r="S38" s="29" t="s">
        <v>912</v>
      </c>
      <c r="T38" s="29" t="s">
        <v>310</v>
      </c>
      <c r="U38" s="29" t="s">
        <v>2702</v>
      </c>
      <c r="V38" s="29" t="s">
        <v>445</v>
      </c>
      <c r="W38" s="29" t="s">
        <v>383</v>
      </c>
    </row>
    <row r="39" spans="1:23" x14ac:dyDescent="0.25">
      <c r="A39" s="29">
        <v>35</v>
      </c>
      <c r="B39" s="29" t="s">
        <v>133</v>
      </c>
      <c r="C39" s="29" t="s">
        <v>1965</v>
      </c>
      <c r="D39" s="29" t="s">
        <v>3598</v>
      </c>
      <c r="E39" s="29" t="s">
        <v>1924</v>
      </c>
      <c r="F39" s="29"/>
      <c r="G39" s="29"/>
      <c r="H39" s="29"/>
      <c r="I39" s="29"/>
      <c r="J39" s="13" t="s">
        <v>2936</v>
      </c>
      <c r="K39" s="13" t="s">
        <v>1138</v>
      </c>
      <c r="L39" s="13" t="s">
        <v>2270</v>
      </c>
      <c r="M39" s="15" t="s">
        <v>3599</v>
      </c>
      <c r="N39" s="13" t="s">
        <v>1667</v>
      </c>
      <c r="O39" s="13" t="s">
        <v>1139</v>
      </c>
      <c r="P39" s="29" t="s">
        <v>938</v>
      </c>
      <c r="Q39" s="29" t="s">
        <v>2524</v>
      </c>
      <c r="R39" s="29"/>
      <c r="S39" s="29" t="s">
        <v>940</v>
      </c>
      <c r="T39" s="29" t="s">
        <v>316</v>
      </c>
      <c r="U39" s="29" t="s">
        <v>2703</v>
      </c>
      <c r="V39" s="29" t="s">
        <v>941</v>
      </c>
      <c r="W39" s="29" t="s">
        <v>939</v>
      </c>
    </row>
    <row r="40" spans="1:23" x14ac:dyDescent="0.25">
      <c r="A40" s="29">
        <v>36</v>
      </c>
      <c r="B40" s="29" t="s">
        <v>66</v>
      </c>
      <c r="C40" s="29" t="s">
        <v>1966</v>
      </c>
      <c r="D40" s="29" t="s">
        <v>1712</v>
      </c>
      <c r="E40" s="29" t="s">
        <v>1712</v>
      </c>
      <c r="F40" s="29"/>
      <c r="G40" s="29"/>
      <c r="H40" s="29"/>
      <c r="I40" s="29"/>
      <c r="J40" s="13" t="s">
        <v>1667</v>
      </c>
      <c r="K40" s="13" t="s">
        <v>1667</v>
      </c>
      <c r="L40" s="13" t="s">
        <v>1667</v>
      </c>
      <c r="N40" s="13" t="s">
        <v>1668</v>
      </c>
      <c r="O40" s="13" t="s">
        <v>1140</v>
      </c>
      <c r="P40" s="29" t="s">
        <v>787</v>
      </c>
      <c r="Q40" s="29" t="s">
        <v>2525</v>
      </c>
      <c r="R40" s="29"/>
      <c r="S40" s="29" t="s">
        <v>788</v>
      </c>
      <c r="T40" s="29" t="s">
        <v>4030</v>
      </c>
      <c r="U40" s="29" t="s">
        <v>4031</v>
      </c>
      <c r="V40" s="29" t="s">
        <v>421</v>
      </c>
      <c r="W40" s="29" t="s">
        <v>375</v>
      </c>
    </row>
    <row r="41" spans="1:23" x14ac:dyDescent="0.25">
      <c r="A41" s="29">
        <v>37</v>
      </c>
      <c r="B41" s="29" t="s">
        <v>124</v>
      </c>
      <c r="C41" s="29" t="s">
        <v>1967</v>
      </c>
      <c r="D41" s="29" t="s">
        <v>3600</v>
      </c>
      <c r="E41" s="29" t="s">
        <v>1922</v>
      </c>
      <c r="F41" s="29" t="s">
        <v>3238</v>
      </c>
      <c r="G41" s="29" t="s">
        <v>3239</v>
      </c>
      <c r="H41" s="29" t="s">
        <v>3240</v>
      </c>
      <c r="I41" s="29" t="s">
        <v>3241</v>
      </c>
      <c r="J41" s="13" t="s">
        <v>2937</v>
      </c>
      <c r="K41" s="13" t="s">
        <v>1141</v>
      </c>
      <c r="L41" s="13" t="s">
        <v>4272</v>
      </c>
      <c r="M41" s="15" t="s">
        <v>3601</v>
      </c>
      <c r="N41" s="13" t="s">
        <v>1669</v>
      </c>
      <c r="O41" s="13" t="s">
        <v>1142</v>
      </c>
      <c r="P41" s="29" t="s">
        <v>919</v>
      </c>
      <c r="Q41" s="29" t="s">
        <v>2526</v>
      </c>
      <c r="R41" s="29" t="s">
        <v>3255</v>
      </c>
      <c r="S41" s="29" t="s">
        <v>920</v>
      </c>
      <c r="T41" s="29" t="s">
        <v>311</v>
      </c>
      <c r="U41" s="29" t="s">
        <v>2704</v>
      </c>
      <c r="V41" s="29" t="s">
        <v>421</v>
      </c>
      <c r="W41" s="29" t="s">
        <v>375</v>
      </c>
    </row>
    <row r="42" spans="1:23" x14ac:dyDescent="0.25">
      <c r="A42" s="29">
        <v>38</v>
      </c>
      <c r="B42" s="29" t="s">
        <v>209</v>
      </c>
      <c r="C42" s="29" t="s">
        <v>1968</v>
      </c>
      <c r="D42" s="29" t="s">
        <v>1712</v>
      </c>
      <c r="E42" s="29" t="s">
        <v>1712</v>
      </c>
      <c r="F42" s="29"/>
      <c r="G42" s="29"/>
      <c r="H42" s="29"/>
      <c r="I42" s="29"/>
      <c r="J42" s="13" t="s">
        <v>2938</v>
      </c>
      <c r="K42" s="13" t="s">
        <v>1143</v>
      </c>
      <c r="L42" s="13" t="s">
        <v>2271</v>
      </c>
      <c r="M42" s="15" t="s">
        <v>3602</v>
      </c>
      <c r="N42" s="13" t="s">
        <v>1670</v>
      </c>
      <c r="O42" s="13" t="s">
        <v>1144</v>
      </c>
      <c r="P42" s="29"/>
      <c r="Q42" s="29"/>
      <c r="R42" s="29"/>
      <c r="S42" s="29" t="s">
        <v>1039</v>
      </c>
      <c r="T42" s="29" t="s">
        <v>337</v>
      </c>
      <c r="U42" s="29" t="s">
        <v>2705</v>
      </c>
      <c r="V42" s="29" t="s">
        <v>421</v>
      </c>
      <c r="W42" s="29" t="s">
        <v>375</v>
      </c>
    </row>
    <row r="43" spans="1:23" x14ac:dyDescent="0.25">
      <c r="A43" s="29">
        <v>39</v>
      </c>
      <c r="B43" s="29" t="s">
        <v>51</v>
      </c>
      <c r="C43" s="29" t="s">
        <v>1969</v>
      </c>
      <c r="D43" s="29" t="s">
        <v>1712</v>
      </c>
      <c r="E43" s="29" t="s">
        <v>1712</v>
      </c>
      <c r="F43" s="29"/>
      <c r="G43" s="29"/>
      <c r="H43" s="29"/>
      <c r="I43" s="29"/>
      <c r="J43" s="13" t="s">
        <v>2939</v>
      </c>
      <c r="K43" s="13" t="s">
        <v>1145</v>
      </c>
      <c r="L43" s="13" t="s">
        <v>2272</v>
      </c>
      <c r="M43" s="15" t="s">
        <v>3603</v>
      </c>
      <c r="N43" s="13" t="s">
        <v>1671</v>
      </c>
      <c r="O43" s="13" t="s">
        <v>1146</v>
      </c>
      <c r="P43" s="29" t="s">
        <v>759</v>
      </c>
      <c r="Q43" s="29" t="s">
        <v>2527</v>
      </c>
      <c r="R43" s="29"/>
      <c r="S43" s="29" t="s">
        <v>492</v>
      </c>
      <c r="T43" s="29" t="s">
        <v>228</v>
      </c>
      <c r="U43" s="29" t="s">
        <v>2706</v>
      </c>
      <c r="V43" s="29" t="s">
        <v>466</v>
      </c>
      <c r="W43" s="29" t="s">
        <v>385</v>
      </c>
    </row>
    <row r="44" spans="1:23" x14ac:dyDescent="0.25">
      <c r="A44" s="29">
        <v>40</v>
      </c>
      <c r="B44" s="29" t="s">
        <v>669</v>
      </c>
      <c r="C44" s="29" t="s">
        <v>1970</v>
      </c>
      <c r="D44" s="29" t="s">
        <v>1712</v>
      </c>
      <c r="E44" s="29" t="s">
        <v>1712</v>
      </c>
      <c r="F44" s="29"/>
      <c r="G44" s="29"/>
      <c r="H44" s="29"/>
      <c r="I44" s="29"/>
      <c r="J44" s="13" t="s">
        <v>2940</v>
      </c>
      <c r="K44" s="13" t="s">
        <v>1147</v>
      </c>
      <c r="L44" s="13" t="s">
        <v>2273</v>
      </c>
      <c r="M44" s="15" t="s">
        <v>3604</v>
      </c>
      <c r="N44" s="13" t="s">
        <v>1672</v>
      </c>
      <c r="O44" s="13" t="s">
        <v>1148</v>
      </c>
      <c r="P44" s="29" t="s">
        <v>670</v>
      </c>
      <c r="Q44" s="29" t="s">
        <v>2528</v>
      </c>
      <c r="R44" s="29"/>
      <c r="S44" s="29" t="s">
        <v>672</v>
      </c>
      <c r="T44" s="29" t="s">
        <v>254</v>
      </c>
      <c r="U44" s="29" t="s">
        <v>2707</v>
      </c>
      <c r="V44" s="29" t="s">
        <v>673</v>
      </c>
      <c r="W44" s="29" t="s">
        <v>671</v>
      </c>
    </row>
    <row r="45" spans="1:23" x14ac:dyDescent="0.25">
      <c r="A45" s="29">
        <v>41</v>
      </c>
      <c r="B45" s="29" t="s">
        <v>720</v>
      </c>
      <c r="C45" s="29" t="s">
        <v>1971</v>
      </c>
      <c r="D45" s="29" t="s">
        <v>1712</v>
      </c>
      <c r="E45" s="29" t="s">
        <v>1712</v>
      </c>
      <c r="F45" s="29"/>
      <c r="G45" s="29"/>
      <c r="H45" s="29"/>
      <c r="I45" s="29"/>
      <c r="J45" s="13" t="s">
        <v>3169</v>
      </c>
      <c r="K45" s="13" t="s">
        <v>1149</v>
      </c>
      <c r="L45" s="13" t="s">
        <v>2274</v>
      </c>
      <c r="M45" s="15" t="s">
        <v>3605</v>
      </c>
      <c r="N45" s="13" t="s">
        <v>1673</v>
      </c>
      <c r="O45" s="13" t="s">
        <v>1150</v>
      </c>
      <c r="P45" s="29" t="s">
        <v>721</v>
      </c>
      <c r="Q45" s="29" t="s">
        <v>2529</v>
      </c>
      <c r="R45" s="29"/>
      <c r="S45" s="29" t="s">
        <v>722</v>
      </c>
      <c r="T45" s="29" t="s">
        <v>2666</v>
      </c>
      <c r="U45" s="29" t="s">
        <v>2708</v>
      </c>
      <c r="V45" s="29" t="s">
        <v>418</v>
      </c>
      <c r="W45" s="29" t="s">
        <v>377</v>
      </c>
    </row>
    <row r="46" spans="1:23" x14ac:dyDescent="0.25">
      <c r="A46" s="29">
        <v>42</v>
      </c>
      <c r="B46" s="29" t="s">
        <v>138</v>
      </c>
      <c r="C46" s="29" t="s">
        <v>1972</v>
      </c>
      <c r="D46" s="29" t="s">
        <v>3606</v>
      </c>
      <c r="E46" s="29" t="s">
        <v>1921</v>
      </c>
      <c r="F46" s="29"/>
      <c r="G46" s="29"/>
      <c r="H46" s="29"/>
      <c r="I46" s="29"/>
      <c r="J46" s="13" t="s">
        <v>2941</v>
      </c>
      <c r="K46" s="13" t="s">
        <v>1151</v>
      </c>
      <c r="L46" s="13" t="s">
        <v>2275</v>
      </c>
      <c r="M46" s="15" t="s">
        <v>3607</v>
      </c>
      <c r="N46" s="13" t="s">
        <v>1674</v>
      </c>
      <c r="O46" s="13" t="s">
        <v>1152</v>
      </c>
      <c r="P46" s="29" t="s">
        <v>953</v>
      </c>
      <c r="Q46" s="29" t="s">
        <v>2530</v>
      </c>
      <c r="R46" s="29"/>
      <c r="S46" s="29" t="s">
        <v>954</v>
      </c>
      <c r="T46" s="29" t="s">
        <v>291</v>
      </c>
      <c r="U46" s="29" t="s">
        <v>2709</v>
      </c>
      <c r="V46" s="29" t="s">
        <v>418</v>
      </c>
      <c r="W46" s="29" t="s">
        <v>377</v>
      </c>
    </row>
    <row r="47" spans="1:23" x14ac:dyDescent="0.25">
      <c r="A47" s="29">
        <v>43</v>
      </c>
      <c r="B47" s="29" t="s">
        <v>134</v>
      </c>
      <c r="C47" s="29" t="s">
        <v>1973</v>
      </c>
      <c r="D47" s="29" t="s">
        <v>1712</v>
      </c>
      <c r="E47" s="29" t="s">
        <v>1712</v>
      </c>
      <c r="F47" s="29"/>
      <c r="G47" s="29"/>
      <c r="H47" s="29"/>
      <c r="I47" s="29"/>
      <c r="J47" s="13" t="s">
        <v>2942</v>
      </c>
      <c r="K47" s="13" t="s">
        <v>1153</v>
      </c>
      <c r="L47" s="13" t="s">
        <v>2276</v>
      </c>
      <c r="M47" s="15" t="s">
        <v>3608</v>
      </c>
      <c r="N47" s="13" t="s">
        <v>1675</v>
      </c>
      <c r="O47" s="13" t="s">
        <v>1154</v>
      </c>
      <c r="P47" s="29" t="s">
        <v>942</v>
      </c>
      <c r="Q47" s="29" t="s">
        <v>2531</v>
      </c>
      <c r="R47" s="29"/>
      <c r="S47" s="29" t="s">
        <v>944</v>
      </c>
      <c r="T47" s="29" t="s">
        <v>317</v>
      </c>
      <c r="U47" s="29" t="s">
        <v>2710</v>
      </c>
      <c r="V47" s="29" t="s">
        <v>945</v>
      </c>
      <c r="W47" s="29" t="s">
        <v>943</v>
      </c>
    </row>
    <row r="48" spans="1:23" x14ac:dyDescent="0.25">
      <c r="A48" s="29">
        <v>44</v>
      </c>
      <c r="B48" s="29" t="s">
        <v>604</v>
      </c>
      <c r="C48" s="29" t="s">
        <v>1974</v>
      </c>
      <c r="D48" s="29" t="s">
        <v>1712</v>
      </c>
      <c r="E48" s="29" t="s">
        <v>1712</v>
      </c>
      <c r="F48" s="29"/>
      <c r="G48" s="29"/>
      <c r="H48" s="29"/>
      <c r="I48" s="29"/>
      <c r="J48" s="13" t="s">
        <v>2943</v>
      </c>
      <c r="K48" s="13" t="s">
        <v>1155</v>
      </c>
      <c r="L48" s="13" t="s">
        <v>2277</v>
      </c>
      <c r="M48" s="15" t="s">
        <v>3609</v>
      </c>
      <c r="N48" s="13" t="s">
        <v>1676</v>
      </c>
      <c r="O48" s="13" t="s">
        <v>1156</v>
      </c>
      <c r="P48" s="29" t="s">
        <v>605</v>
      </c>
      <c r="Q48" s="29" t="s">
        <v>2532</v>
      </c>
      <c r="R48" s="29"/>
      <c r="S48" s="29" t="s">
        <v>607</v>
      </c>
      <c r="T48" s="29" t="s">
        <v>4032</v>
      </c>
      <c r="U48" s="29" t="s">
        <v>4033</v>
      </c>
      <c r="V48" s="29" t="s">
        <v>608</v>
      </c>
      <c r="W48" s="29" t="s">
        <v>606</v>
      </c>
    </row>
    <row r="49" spans="1:23" x14ac:dyDescent="0.25">
      <c r="A49" s="29">
        <v>45</v>
      </c>
      <c r="B49" s="29" t="s">
        <v>42</v>
      </c>
      <c r="C49" s="29" t="s">
        <v>1975</v>
      </c>
      <c r="D49" s="29" t="s">
        <v>3610</v>
      </c>
      <c r="E49" s="29" t="s">
        <v>1921</v>
      </c>
      <c r="F49" s="29" t="s">
        <v>3249</v>
      </c>
      <c r="G49" s="29" t="s">
        <v>3250</v>
      </c>
      <c r="H49" s="29" t="s">
        <v>3256</v>
      </c>
      <c r="I49" s="29" t="s">
        <v>3257</v>
      </c>
      <c r="J49" s="13" t="s">
        <v>2944</v>
      </c>
      <c r="K49" s="13" t="s">
        <v>1157</v>
      </c>
      <c r="L49" s="13" t="s">
        <v>2278</v>
      </c>
      <c r="M49" s="15" t="s">
        <v>3611</v>
      </c>
      <c r="N49" s="13" t="s">
        <v>1677</v>
      </c>
      <c r="O49" s="13" t="s">
        <v>1158</v>
      </c>
      <c r="P49" s="29" t="s">
        <v>3258</v>
      </c>
      <c r="Q49" s="29" t="s">
        <v>3259</v>
      </c>
      <c r="R49" s="29" t="s">
        <v>3260</v>
      </c>
      <c r="S49" s="29" t="s">
        <v>1052</v>
      </c>
      <c r="T49" s="29" t="s">
        <v>373</v>
      </c>
      <c r="U49" s="29" t="s">
        <v>2711</v>
      </c>
      <c r="V49" s="29" t="s">
        <v>418</v>
      </c>
      <c r="W49" s="29" t="s">
        <v>377</v>
      </c>
    </row>
    <row r="50" spans="1:23" x14ac:dyDescent="0.25">
      <c r="A50" s="29">
        <v>46</v>
      </c>
      <c r="B50" s="29" t="s">
        <v>128</v>
      </c>
      <c r="C50" s="29" t="s">
        <v>1976</v>
      </c>
      <c r="D50" s="29" t="s">
        <v>3576</v>
      </c>
      <c r="E50" s="29" t="s">
        <v>1921</v>
      </c>
      <c r="F50" s="29"/>
      <c r="G50" s="29"/>
      <c r="H50" s="29"/>
      <c r="I50" s="29"/>
      <c r="J50" s="13" t="s">
        <v>2945</v>
      </c>
      <c r="K50" s="13" t="s">
        <v>1159</v>
      </c>
      <c r="L50" s="13" t="s">
        <v>2279</v>
      </c>
      <c r="M50" s="15" t="s">
        <v>3612</v>
      </c>
      <c r="N50" s="13" t="s">
        <v>1678</v>
      </c>
      <c r="O50" s="13" t="s">
        <v>1160</v>
      </c>
      <c r="P50" s="29" t="s">
        <v>929</v>
      </c>
      <c r="Q50" s="29" t="s">
        <v>2533</v>
      </c>
      <c r="R50" s="29"/>
      <c r="S50" s="29" t="s">
        <v>930</v>
      </c>
      <c r="T50" s="29" t="s">
        <v>314</v>
      </c>
      <c r="U50" s="29" t="s">
        <v>2712</v>
      </c>
      <c r="V50" s="29" t="s">
        <v>877</v>
      </c>
      <c r="W50" s="29" t="s">
        <v>875</v>
      </c>
    </row>
    <row r="51" spans="1:23" x14ac:dyDescent="0.25">
      <c r="A51" s="29">
        <v>47</v>
      </c>
      <c r="B51" s="29" t="s">
        <v>81</v>
      </c>
      <c r="C51" s="29" t="s">
        <v>1977</v>
      </c>
      <c r="D51" s="29" t="s">
        <v>3576</v>
      </c>
      <c r="E51" s="29" t="s">
        <v>1921</v>
      </c>
      <c r="F51" s="29" t="s">
        <v>3261</v>
      </c>
      <c r="G51" s="29" t="s">
        <v>3262</v>
      </c>
      <c r="H51" s="29" t="s">
        <v>3263</v>
      </c>
      <c r="I51" s="29" t="s">
        <v>3264</v>
      </c>
      <c r="J51" s="13" t="s">
        <v>2946</v>
      </c>
      <c r="K51" s="13" t="s">
        <v>1161</v>
      </c>
      <c r="L51" s="13" t="s">
        <v>2280</v>
      </c>
      <c r="M51" s="15" t="s">
        <v>3613</v>
      </c>
      <c r="N51" s="13" t="s">
        <v>1679</v>
      </c>
      <c r="O51" s="13" t="s">
        <v>1162</v>
      </c>
      <c r="P51" s="29" t="s">
        <v>822</v>
      </c>
      <c r="Q51" s="29" t="s">
        <v>2534</v>
      </c>
      <c r="R51" s="29" t="s">
        <v>3265</v>
      </c>
      <c r="S51" s="29" t="s">
        <v>3913</v>
      </c>
      <c r="T51" s="29" t="s">
        <v>262</v>
      </c>
      <c r="U51" s="29" t="s">
        <v>4034</v>
      </c>
      <c r="V51" s="29" t="s">
        <v>442</v>
      </c>
      <c r="W51" s="29" t="s">
        <v>382</v>
      </c>
    </row>
    <row r="52" spans="1:23" x14ac:dyDescent="0.25">
      <c r="A52" s="29">
        <v>48</v>
      </c>
      <c r="B52" s="29" t="s">
        <v>616</v>
      </c>
      <c r="C52" s="29" t="s">
        <v>1978</v>
      </c>
      <c r="D52" s="29" t="s">
        <v>1712</v>
      </c>
      <c r="E52" s="29" t="s">
        <v>1712</v>
      </c>
      <c r="F52" s="29"/>
      <c r="G52" s="29"/>
      <c r="H52" s="29"/>
      <c r="I52" s="29"/>
      <c r="J52" s="13" t="s">
        <v>2947</v>
      </c>
      <c r="K52" s="13" t="s">
        <v>1163</v>
      </c>
      <c r="L52" s="13" t="s">
        <v>2281</v>
      </c>
      <c r="M52" s="15" t="s">
        <v>3614</v>
      </c>
      <c r="N52" s="13" t="s">
        <v>1680</v>
      </c>
      <c r="O52" s="13" t="s">
        <v>1164</v>
      </c>
      <c r="P52" s="29"/>
      <c r="Q52" s="29"/>
      <c r="R52" s="29"/>
      <c r="S52" s="29" t="s">
        <v>617</v>
      </c>
      <c r="T52" s="29" t="s">
        <v>243</v>
      </c>
      <c r="U52" s="29" t="s">
        <v>2686</v>
      </c>
      <c r="V52" s="29" t="s">
        <v>418</v>
      </c>
      <c r="W52" s="29" t="s">
        <v>377</v>
      </c>
    </row>
    <row r="53" spans="1:23" x14ac:dyDescent="0.25">
      <c r="A53" s="29">
        <v>49</v>
      </c>
      <c r="B53" s="29" t="s">
        <v>91</v>
      </c>
      <c r="C53" s="29" t="s">
        <v>1979</v>
      </c>
      <c r="D53" s="29" t="s">
        <v>1712</v>
      </c>
      <c r="E53" s="29" t="s">
        <v>1712</v>
      </c>
      <c r="F53" s="29"/>
      <c r="G53" s="29"/>
      <c r="H53" s="29"/>
      <c r="I53" s="29"/>
      <c r="J53" s="13" t="s">
        <v>2948</v>
      </c>
      <c r="K53" s="13" t="s">
        <v>1165</v>
      </c>
      <c r="L53" s="13" t="s">
        <v>2282</v>
      </c>
      <c r="M53" s="15" t="s">
        <v>3615</v>
      </c>
      <c r="N53" s="13" t="s">
        <v>1681</v>
      </c>
      <c r="O53" s="13" t="s">
        <v>1166</v>
      </c>
      <c r="P53" s="29" t="s">
        <v>844</v>
      </c>
      <c r="Q53" s="29" t="s">
        <v>2535</v>
      </c>
      <c r="R53" s="29"/>
      <c r="S53" s="29" t="s">
        <v>952</v>
      </c>
      <c r="T53" s="29" t="s">
        <v>320</v>
      </c>
      <c r="U53" s="29" t="s">
        <v>2713</v>
      </c>
      <c r="V53" s="29" t="s">
        <v>428</v>
      </c>
      <c r="W53" s="29" t="s">
        <v>378</v>
      </c>
    </row>
    <row r="54" spans="1:23" x14ac:dyDescent="0.25">
      <c r="A54" s="29">
        <v>50</v>
      </c>
      <c r="B54" s="29" t="s">
        <v>77</v>
      </c>
      <c r="C54" s="29" t="s">
        <v>1980</v>
      </c>
      <c r="D54" s="29" t="s">
        <v>3600</v>
      </c>
      <c r="E54" s="29" t="s">
        <v>1922</v>
      </c>
      <c r="F54" s="29" t="s">
        <v>3266</v>
      </c>
      <c r="G54" s="29" t="s">
        <v>3267</v>
      </c>
      <c r="H54" s="29" t="s">
        <v>3268</v>
      </c>
      <c r="I54" s="29" t="s">
        <v>3269</v>
      </c>
      <c r="J54" s="13" t="s">
        <v>2949</v>
      </c>
      <c r="K54" s="13" t="s">
        <v>1167</v>
      </c>
      <c r="L54" s="13" t="s">
        <v>2283</v>
      </c>
      <c r="M54" s="15" t="s">
        <v>3616</v>
      </c>
      <c r="N54" s="13" t="s">
        <v>1682</v>
      </c>
      <c r="O54" s="13" t="s">
        <v>1168</v>
      </c>
      <c r="P54" s="29" t="s">
        <v>3270</v>
      </c>
      <c r="Q54" s="29" t="s">
        <v>3271</v>
      </c>
      <c r="R54" s="29" t="s">
        <v>3272</v>
      </c>
      <c r="S54" s="29" t="s">
        <v>3914</v>
      </c>
      <c r="T54" s="29" t="s">
        <v>4035</v>
      </c>
      <c r="U54" s="29" t="s">
        <v>3545</v>
      </c>
      <c r="V54" s="29" t="s">
        <v>418</v>
      </c>
      <c r="W54" s="29" t="s">
        <v>377</v>
      </c>
    </row>
    <row r="55" spans="1:23" x14ac:dyDescent="0.25">
      <c r="A55" s="29">
        <v>51</v>
      </c>
      <c r="B55" s="29" t="s">
        <v>1061</v>
      </c>
      <c r="C55" s="29" t="s">
        <v>1981</v>
      </c>
      <c r="D55" s="29" t="s">
        <v>1712</v>
      </c>
      <c r="E55" s="29" t="s">
        <v>1712</v>
      </c>
      <c r="F55" s="29"/>
      <c r="G55" s="29"/>
      <c r="H55" s="29"/>
      <c r="I55" s="29"/>
      <c r="J55" s="13" t="s">
        <v>2950</v>
      </c>
      <c r="K55" s="13" t="s">
        <v>1169</v>
      </c>
      <c r="L55" s="13" t="s">
        <v>2284</v>
      </c>
      <c r="M55" s="15" t="s">
        <v>3617</v>
      </c>
      <c r="N55" s="13" t="s">
        <v>1683</v>
      </c>
      <c r="O55" s="13" t="s">
        <v>1170</v>
      </c>
      <c r="P55" s="29" t="s">
        <v>653</v>
      </c>
      <c r="Q55" s="29" t="s">
        <v>2536</v>
      </c>
      <c r="R55" s="29"/>
      <c r="S55" s="29" t="s">
        <v>518</v>
      </c>
      <c r="T55" s="29" t="s">
        <v>234</v>
      </c>
      <c r="U55" s="29" t="s">
        <v>2714</v>
      </c>
      <c r="V55" s="29" t="s">
        <v>421</v>
      </c>
      <c r="W55" s="29" t="s">
        <v>375</v>
      </c>
    </row>
    <row r="56" spans="1:23" x14ac:dyDescent="0.25">
      <c r="A56" s="29">
        <v>52</v>
      </c>
      <c r="B56" s="29" t="s">
        <v>639</v>
      </c>
      <c r="C56" s="29" t="s">
        <v>1982</v>
      </c>
      <c r="D56" s="29" t="s">
        <v>3563</v>
      </c>
      <c r="E56" s="29" t="s">
        <v>1923</v>
      </c>
      <c r="F56" s="29"/>
      <c r="G56" s="29"/>
      <c r="H56" s="29"/>
      <c r="I56" s="29"/>
      <c r="J56" s="13" t="s">
        <v>2951</v>
      </c>
      <c r="K56" s="13" t="s">
        <v>1171</v>
      </c>
      <c r="L56" s="13" t="s">
        <v>2285</v>
      </c>
      <c r="M56" s="15" t="s">
        <v>3618</v>
      </c>
      <c r="N56" s="13" t="s">
        <v>1684</v>
      </c>
      <c r="O56" s="13" t="s">
        <v>1172</v>
      </c>
      <c r="P56" s="29" t="s">
        <v>640</v>
      </c>
      <c r="Q56" s="29" t="s">
        <v>2537</v>
      </c>
      <c r="R56" s="29"/>
      <c r="S56" s="29" t="s">
        <v>642</v>
      </c>
      <c r="T56" s="29" t="s">
        <v>251</v>
      </c>
      <c r="U56" s="29" t="s">
        <v>2715</v>
      </c>
      <c r="V56" s="29" t="s">
        <v>643</v>
      </c>
      <c r="W56" s="29" t="s">
        <v>641</v>
      </c>
    </row>
    <row r="57" spans="1:23" x14ac:dyDescent="0.25">
      <c r="A57" s="29">
        <v>53</v>
      </c>
      <c r="B57" s="29" t="s">
        <v>425</v>
      </c>
      <c r="C57" s="29" t="s">
        <v>4160</v>
      </c>
      <c r="D57" s="29" t="s">
        <v>3619</v>
      </c>
      <c r="E57" s="29" t="s">
        <v>1923</v>
      </c>
      <c r="F57" s="29" t="s">
        <v>3273</v>
      </c>
      <c r="G57" s="29" t="s">
        <v>3274</v>
      </c>
      <c r="H57" s="29" t="s">
        <v>3275</v>
      </c>
      <c r="I57" s="29" t="s">
        <v>3276</v>
      </c>
      <c r="J57" s="13" t="s">
        <v>2952</v>
      </c>
      <c r="K57" s="13" t="s">
        <v>1173</v>
      </c>
      <c r="L57" s="13" t="s">
        <v>2286</v>
      </c>
      <c r="M57" s="15" t="s">
        <v>3620</v>
      </c>
      <c r="N57" s="13" t="s">
        <v>1685</v>
      </c>
      <c r="O57" s="13" t="s">
        <v>1174</v>
      </c>
      <c r="P57" s="29" t="s">
        <v>426</v>
      </c>
      <c r="Q57" s="29" t="s">
        <v>2538</v>
      </c>
      <c r="R57" s="29" t="s">
        <v>3277</v>
      </c>
      <c r="S57" s="29" t="s">
        <v>427</v>
      </c>
      <c r="T57" s="29" t="s">
        <v>2665</v>
      </c>
      <c r="U57" s="29" t="s">
        <v>3248</v>
      </c>
      <c r="V57" s="29" t="s">
        <v>421</v>
      </c>
      <c r="W57" s="29" t="s">
        <v>375</v>
      </c>
    </row>
    <row r="58" spans="1:23" x14ac:dyDescent="0.25">
      <c r="A58" s="29">
        <v>54</v>
      </c>
      <c r="B58" s="29" t="s">
        <v>137</v>
      </c>
      <c r="C58" s="29" t="s">
        <v>1983</v>
      </c>
      <c r="D58" s="29" t="s">
        <v>1712</v>
      </c>
      <c r="E58" s="29" t="s">
        <v>1712</v>
      </c>
      <c r="F58" s="29"/>
      <c r="G58" s="29"/>
      <c r="H58" s="29"/>
      <c r="I58" s="29"/>
      <c r="J58" s="13" t="s">
        <v>3177</v>
      </c>
      <c r="K58" s="13" t="s">
        <v>1175</v>
      </c>
      <c r="L58" s="13" t="s">
        <v>2287</v>
      </c>
      <c r="M58" s="15" t="s">
        <v>3621</v>
      </c>
      <c r="N58" s="13" t="s">
        <v>1686</v>
      </c>
      <c r="O58" s="13" t="s">
        <v>1176</v>
      </c>
      <c r="P58" s="29" t="s">
        <v>950</v>
      </c>
      <c r="Q58" s="29" t="s">
        <v>2539</v>
      </c>
      <c r="R58" s="29"/>
      <c r="S58" s="29" t="s">
        <v>951</v>
      </c>
      <c r="T58" s="29" t="s">
        <v>319</v>
      </c>
      <c r="U58" s="29" t="s">
        <v>2716</v>
      </c>
      <c r="V58" s="29" t="s">
        <v>781</v>
      </c>
      <c r="W58" s="29" t="s">
        <v>779</v>
      </c>
    </row>
    <row r="59" spans="1:23" x14ac:dyDescent="0.25">
      <c r="A59" s="29">
        <v>55</v>
      </c>
      <c r="B59" s="29" t="s">
        <v>464</v>
      </c>
      <c r="C59" s="29" t="s">
        <v>1984</v>
      </c>
      <c r="D59" s="29" t="s">
        <v>3622</v>
      </c>
      <c r="E59" s="29" t="s">
        <v>1921</v>
      </c>
      <c r="F59" s="29"/>
      <c r="G59" s="29"/>
      <c r="H59" s="29"/>
      <c r="I59" s="29"/>
      <c r="J59" s="13" t="s">
        <v>2953</v>
      </c>
      <c r="K59" s="13" t="s">
        <v>1177</v>
      </c>
      <c r="L59" s="13" t="s">
        <v>2288</v>
      </c>
      <c r="M59" s="15" t="s">
        <v>3623</v>
      </c>
      <c r="N59" s="13" t="s">
        <v>1687</v>
      </c>
      <c r="O59" s="13" t="s">
        <v>1178</v>
      </c>
      <c r="P59" s="29" t="s">
        <v>465</v>
      </c>
      <c r="Q59" s="29" t="s">
        <v>2540</v>
      </c>
      <c r="R59" s="29"/>
      <c r="S59" s="29" t="s">
        <v>492</v>
      </c>
      <c r="T59" s="29" t="s">
        <v>231</v>
      </c>
      <c r="U59" s="29" t="s">
        <v>2717</v>
      </c>
      <c r="V59" s="29" t="s">
        <v>466</v>
      </c>
      <c r="W59" s="29" t="s">
        <v>385</v>
      </c>
    </row>
    <row r="60" spans="1:23" x14ac:dyDescent="0.25">
      <c r="A60" s="29">
        <v>56</v>
      </c>
      <c r="B60" s="29" t="s">
        <v>399</v>
      </c>
      <c r="C60" s="29" t="s">
        <v>1985</v>
      </c>
      <c r="D60" s="29" t="s">
        <v>1712</v>
      </c>
      <c r="E60" s="29" t="s">
        <v>1712</v>
      </c>
      <c r="F60" s="29"/>
      <c r="G60" s="29"/>
      <c r="H60" s="29"/>
      <c r="I60" s="29"/>
      <c r="J60" s="13" t="s">
        <v>2954</v>
      </c>
      <c r="K60" s="13" t="s">
        <v>1179</v>
      </c>
      <c r="L60" s="13" t="s">
        <v>2289</v>
      </c>
      <c r="M60" s="15" t="s">
        <v>3624</v>
      </c>
      <c r="N60" s="13" t="s">
        <v>1688</v>
      </c>
      <c r="O60" s="13" t="s">
        <v>1180</v>
      </c>
      <c r="P60" s="29" t="s">
        <v>400</v>
      </c>
      <c r="Q60" s="29" t="s">
        <v>2541</v>
      </c>
      <c r="R60" s="29"/>
      <c r="S60" s="29" t="s">
        <v>401</v>
      </c>
      <c r="T60" s="29" t="s">
        <v>222</v>
      </c>
      <c r="U60" s="29" t="s">
        <v>2718</v>
      </c>
      <c r="V60" s="29" t="s">
        <v>402</v>
      </c>
      <c r="W60" s="29" t="s">
        <v>374</v>
      </c>
    </row>
    <row r="61" spans="1:23" x14ac:dyDescent="0.25">
      <c r="A61" s="29">
        <v>57</v>
      </c>
      <c r="B61" s="29" t="s">
        <v>210</v>
      </c>
      <c r="C61" s="29" t="s">
        <v>1986</v>
      </c>
      <c r="D61" s="29" t="s">
        <v>1712</v>
      </c>
      <c r="E61" s="29" t="s">
        <v>1712</v>
      </c>
      <c r="F61" s="29"/>
      <c r="G61" s="29"/>
      <c r="H61" s="29"/>
      <c r="I61" s="29"/>
      <c r="J61" s="13" t="s">
        <v>2955</v>
      </c>
      <c r="K61" s="13" t="s">
        <v>1181</v>
      </c>
      <c r="L61" s="13" t="s">
        <v>2290</v>
      </c>
      <c r="M61" s="15" t="s">
        <v>3625</v>
      </c>
      <c r="N61" s="13" t="s">
        <v>1689</v>
      </c>
      <c r="O61" s="13" t="s">
        <v>1182</v>
      </c>
      <c r="P61" s="29"/>
      <c r="Q61" s="29"/>
      <c r="R61" s="29"/>
      <c r="S61" s="29" t="s">
        <v>1040</v>
      </c>
      <c r="T61" s="29" t="s">
        <v>363</v>
      </c>
      <c r="U61" s="29" t="s">
        <v>2719</v>
      </c>
      <c r="V61" s="29" t="s">
        <v>673</v>
      </c>
      <c r="W61" s="29" t="s">
        <v>671</v>
      </c>
    </row>
    <row r="62" spans="1:23" x14ac:dyDescent="0.25">
      <c r="A62" s="29">
        <v>58</v>
      </c>
      <c r="B62" s="29" t="s">
        <v>54</v>
      </c>
      <c r="C62" s="29" t="s">
        <v>1987</v>
      </c>
      <c r="D62" s="29" t="s">
        <v>1712</v>
      </c>
      <c r="E62" s="29" t="s">
        <v>1712</v>
      </c>
      <c r="F62" s="29"/>
      <c r="G62" s="29"/>
      <c r="H62" s="29"/>
      <c r="I62" s="29"/>
      <c r="J62" s="13" t="s">
        <v>2956</v>
      </c>
      <c r="K62" s="13" t="s">
        <v>1183</v>
      </c>
      <c r="L62" s="13" t="s">
        <v>2291</v>
      </c>
      <c r="M62" s="15" t="s">
        <v>3626</v>
      </c>
      <c r="N62" s="13" t="s">
        <v>1690</v>
      </c>
      <c r="O62" s="13" t="s">
        <v>1184</v>
      </c>
      <c r="P62" s="29" t="s">
        <v>766</v>
      </c>
      <c r="Q62" s="29" t="s">
        <v>2542</v>
      </c>
      <c r="R62" s="29"/>
      <c r="S62" s="29" t="s">
        <v>768</v>
      </c>
      <c r="T62" s="29" t="s">
        <v>266</v>
      </c>
      <c r="U62" s="29" t="s">
        <v>2720</v>
      </c>
      <c r="V62" s="29" t="s">
        <v>769</v>
      </c>
      <c r="W62" s="29" t="s">
        <v>767</v>
      </c>
    </row>
    <row r="63" spans="1:23" x14ac:dyDescent="0.25">
      <c r="A63" s="29">
        <v>59</v>
      </c>
      <c r="B63" s="29" t="s">
        <v>497</v>
      </c>
      <c r="C63" s="29" t="s">
        <v>1988</v>
      </c>
      <c r="D63" s="29" t="s">
        <v>1712</v>
      </c>
      <c r="E63" s="29" t="s">
        <v>1712</v>
      </c>
      <c r="F63" s="29"/>
      <c r="G63" s="29"/>
      <c r="H63" s="29"/>
      <c r="I63" s="29"/>
      <c r="J63" s="13" t="s">
        <v>2957</v>
      </c>
      <c r="K63" s="13" t="s">
        <v>1185</v>
      </c>
      <c r="L63" s="13" t="s">
        <v>2292</v>
      </c>
      <c r="M63" s="15" t="s">
        <v>3627</v>
      </c>
      <c r="N63" s="13" t="s">
        <v>1691</v>
      </c>
      <c r="O63" s="13" t="s">
        <v>1186</v>
      </c>
      <c r="P63" s="29" t="s">
        <v>498</v>
      </c>
      <c r="Q63" s="29" t="s">
        <v>2543</v>
      </c>
      <c r="R63" s="29"/>
      <c r="S63" s="29" t="s">
        <v>499</v>
      </c>
      <c r="T63" s="29" t="s">
        <v>4036</v>
      </c>
      <c r="U63" s="29" t="s">
        <v>4037</v>
      </c>
      <c r="V63" s="29" t="s">
        <v>500</v>
      </c>
      <c r="W63" s="29" t="s">
        <v>389</v>
      </c>
    </row>
    <row r="64" spans="1:23" x14ac:dyDescent="0.25">
      <c r="A64" s="29">
        <v>60</v>
      </c>
      <c r="B64" s="29" t="s">
        <v>122</v>
      </c>
      <c r="C64" s="29" t="s">
        <v>1989</v>
      </c>
      <c r="D64" s="29" t="s">
        <v>3594</v>
      </c>
      <c r="E64" s="29" t="s">
        <v>1923</v>
      </c>
      <c r="F64" s="29" t="s">
        <v>3278</v>
      </c>
      <c r="G64" s="29" t="s">
        <v>3279</v>
      </c>
      <c r="H64" s="29" t="s">
        <v>3280</v>
      </c>
      <c r="I64" s="29" t="s">
        <v>3281</v>
      </c>
      <c r="J64" s="13" t="s">
        <v>2958</v>
      </c>
      <c r="K64" s="13" t="s">
        <v>1187</v>
      </c>
      <c r="L64" s="13" t="s">
        <v>4273</v>
      </c>
      <c r="M64" s="15" t="s">
        <v>3628</v>
      </c>
      <c r="N64" s="13" t="s">
        <v>1692</v>
      </c>
      <c r="O64" s="13" t="s">
        <v>1188</v>
      </c>
      <c r="P64" s="29" t="s">
        <v>913</v>
      </c>
      <c r="Q64" s="29" t="s">
        <v>2544</v>
      </c>
      <c r="R64" s="29" t="s">
        <v>3282</v>
      </c>
      <c r="S64" s="29" t="s">
        <v>914</v>
      </c>
      <c r="T64" s="29" t="s">
        <v>4038</v>
      </c>
      <c r="U64" s="29" t="s">
        <v>4039</v>
      </c>
      <c r="V64" s="29" t="s">
        <v>528</v>
      </c>
      <c r="W64" s="29" t="s">
        <v>393</v>
      </c>
    </row>
    <row r="65" spans="1:23" x14ac:dyDescent="0.25">
      <c r="A65" s="29">
        <v>61</v>
      </c>
      <c r="B65" s="29" t="s">
        <v>192</v>
      </c>
      <c r="C65" s="29" t="s">
        <v>1990</v>
      </c>
      <c r="D65" s="29" t="s">
        <v>3629</v>
      </c>
      <c r="E65" s="29" t="s">
        <v>1921</v>
      </c>
      <c r="F65" s="29" t="s">
        <v>3283</v>
      </c>
      <c r="G65" s="29" t="s">
        <v>3284</v>
      </c>
      <c r="H65" s="29" t="s">
        <v>3285</v>
      </c>
      <c r="I65" s="29" t="s">
        <v>3286</v>
      </c>
      <c r="J65" s="13" t="s">
        <v>2959</v>
      </c>
      <c r="K65" s="13" t="s">
        <v>1189</v>
      </c>
      <c r="L65" s="13" t="s">
        <v>2294</v>
      </c>
      <c r="M65" s="15" t="s">
        <v>3630</v>
      </c>
      <c r="N65" s="13" t="s">
        <v>1693</v>
      </c>
      <c r="O65" s="13" t="s">
        <v>1190</v>
      </c>
      <c r="P65" s="29" t="s">
        <v>3287</v>
      </c>
      <c r="Q65" s="29" t="s">
        <v>3288</v>
      </c>
      <c r="R65" s="29" t="s">
        <v>3289</v>
      </c>
      <c r="S65" s="29" t="s">
        <v>1022</v>
      </c>
      <c r="T65" s="29" t="s">
        <v>352</v>
      </c>
      <c r="U65" s="29" t="s">
        <v>2721</v>
      </c>
      <c r="V65" s="29" t="s">
        <v>637</v>
      </c>
      <c r="W65" s="29" t="s">
        <v>3631</v>
      </c>
    </row>
    <row r="66" spans="1:23" x14ac:dyDescent="0.25">
      <c r="A66" s="29">
        <v>62</v>
      </c>
      <c r="B66" s="29" t="s">
        <v>149</v>
      </c>
      <c r="C66" s="29" t="s">
        <v>1991</v>
      </c>
      <c r="D66" s="29" t="s">
        <v>1712</v>
      </c>
      <c r="E66" s="29" t="s">
        <v>1712</v>
      </c>
      <c r="F66" s="29"/>
      <c r="G66" s="29"/>
      <c r="H66" s="29"/>
      <c r="I66" s="29"/>
      <c r="J66" s="13" t="s">
        <v>1712</v>
      </c>
      <c r="K66" s="13" t="s">
        <v>1712</v>
      </c>
      <c r="L66" s="13" t="s">
        <v>1712</v>
      </c>
      <c r="M66" s="15" t="s">
        <v>1712</v>
      </c>
      <c r="N66" s="13" t="s">
        <v>1694</v>
      </c>
      <c r="O66" s="13" t="s">
        <v>1073</v>
      </c>
      <c r="P66" s="29"/>
      <c r="Q66" s="29"/>
      <c r="R66" s="29"/>
      <c r="S66" s="29" t="s">
        <v>969</v>
      </c>
      <c r="T66" s="29" t="s">
        <v>330</v>
      </c>
      <c r="U66" s="29" t="s">
        <v>2722</v>
      </c>
      <c r="V66" s="29" t="s">
        <v>438</v>
      </c>
      <c r="W66" s="29" t="s">
        <v>381</v>
      </c>
    </row>
    <row r="67" spans="1:23" x14ac:dyDescent="0.25">
      <c r="A67" s="29">
        <v>63</v>
      </c>
      <c r="B67" s="29" t="s">
        <v>118</v>
      </c>
      <c r="C67" s="29" t="s">
        <v>1992</v>
      </c>
      <c r="D67" s="29" t="s">
        <v>1712</v>
      </c>
      <c r="E67" s="29" t="s">
        <v>1712</v>
      </c>
      <c r="F67" s="29"/>
      <c r="G67" s="29"/>
      <c r="H67" s="29"/>
      <c r="I67" s="29"/>
      <c r="J67" s="13" t="s">
        <v>2960</v>
      </c>
      <c r="K67" s="13" t="s">
        <v>1191</v>
      </c>
      <c r="L67" s="13" t="s">
        <v>2295</v>
      </c>
      <c r="M67" s="15" t="s">
        <v>3632</v>
      </c>
      <c r="N67" s="13" t="s">
        <v>1695</v>
      </c>
      <c r="O67" s="13" t="s">
        <v>1192</v>
      </c>
      <c r="P67" s="29" t="s">
        <v>906</v>
      </c>
      <c r="Q67" s="29" t="s">
        <v>2545</v>
      </c>
      <c r="R67" s="29"/>
      <c r="S67" s="29" t="s">
        <v>492</v>
      </c>
      <c r="T67" s="29" t="s">
        <v>308</v>
      </c>
      <c r="U67" s="29" t="s">
        <v>2723</v>
      </c>
      <c r="V67" s="29" t="s">
        <v>466</v>
      </c>
      <c r="W67" s="29" t="s">
        <v>385</v>
      </c>
    </row>
    <row r="68" spans="1:23" x14ac:dyDescent="0.25">
      <c r="A68" s="29">
        <v>64</v>
      </c>
      <c r="B68" s="29" t="s">
        <v>131</v>
      </c>
      <c r="C68" s="29" t="s">
        <v>1993</v>
      </c>
      <c r="D68" s="29" t="s">
        <v>1712</v>
      </c>
      <c r="E68" s="29" t="s">
        <v>1712</v>
      </c>
      <c r="F68" s="29"/>
      <c r="G68" s="29"/>
      <c r="H68" s="29"/>
      <c r="I68" s="29"/>
      <c r="J68" s="13" t="s">
        <v>2961</v>
      </c>
      <c r="K68" s="13" t="s">
        <v>1193</v>
      </c>
      <c r="L68" s="13" t="s">
        <v>2296</v>
      </c>
      <c r="M68" s="15" t="s">
        <v>3633</v>
      </c>
      <c r="N68" s="13" t="s">
        <v>1696</v>
      </c>
      <c r="O68" s="13" t="s">
        <v>1194</v>
      </c>
      <c r="P68" s="29" t="s">
        <v>934</v>
      </c>
      <c r="Q68" s="29" t="s">
        <v>2546</v>
      </c>
      <c r="R68" s="29"/>
      <c r="S68" s="29" t="s">
        <v>935</v>
      </c>
      <c r="T68" s="29" t="s">
        <v>315</v>
      </c>
      <c r="U68" s="29" t="s">
        <v>2724</v>
      </c>
      <c r="V68" s="29" t="s">
        <v>438</v>
      </c>
      <c r="W68" s="29" t="s">
        <v>381</v>
      </c>
    </row>
    <row r="69" spans="1:23" x14ac:dyDescent="0.25">
      <c r="A69" s="29">
        <v>65</v>
      </c>
      <c r="B69" s="29" t="s">
        <v>183</v>
      </c>
      <c r="C69" s="29" t="s">
        <v>1994</v>
      </c>
      <c r="D69" s="29" t="s">
        <v>1712</v>
      </c>
      <c r="E69" s="29" t="s">
        <v>1712</v>
      </c>
      <c r="F69" s="29"/>
      <c r="G69" s="29"/>
      <c r="H69" s="29"/>
      <c r="I69" s="29"/>
      <c r="J69" s="13" t="s">
        <v>2962</v>
      </c>
      <c r="K69" s="13" t="s">
        <v>1195</v>
      </c>
      <c r="L69" s="13" t="s">
        <v>2297</v>
      </c>
      <c r="M69" s="15" t="s">
        <v>3634</v>
      </c>
      <c r="N69" s="13" t="s">
        <v>1697</v>
      </c>
      <c r="O69" s="13" t="s">
        <v>1196</v>
      </c>
      <c r="P69" s="29"/>
      <c r="Q69" s="29"/>
      <c r="R69" s="29"/>
      <c r="S69" s="29" t="s">
        <v>1009</v>
      </c>
      <c r="T69" s="29" t="s">
        <v>337</v>
      </c>
      <c r="U69" s="29" t="s">
        <v>2705</v>
      </c>
      <c r="V69" s="29" t="s">
        <v>421</v>
      </c>
      <c r="W69" s="29" t="s">
        <v>375</v>
      </c>
    </row>
    <row r="70" spans="1:23" x14ac:dyDescent="0.25">
      <c r="A70" s="29">
        <v>66</v>
      </c>
      <c r="B70" s="29" t="s">
        <v>105</v>
      </c>
      <c r="C70" s="29" t="s">
        <v>1995</v>
      </c>
      <c r="D70" s="29" t="s">
        <v>1712</v>
      </c>
      <c r="E70" s="29" t="s">
        <v>1712</v>
      </c>
      <c r="F70" s="29"/>
      <c r="G70" s="29"/>
      <c r="H70" s="29"/>
      <c r="I70" s="29"/>
      <c r="J70" s="13" t="s">
        <v>2963</v>
      </c>
      <c r="K70" s="13" t="s">
        <v>1197</v>
      </c>
      <c r="L70" s="13" t="s">
        <v>2298</v>
      </c>
      <c r="M70" s="15" t="s">
        <v>3635</v>
      </c>
      <c r="N70" s="13" t="s">
        <v>1698</v>
      </c>
      <c r="O70" s="13" t="s">
        <v>1198</v>
      </c>
      <c r="P70" s="29" t="s">
        <v>872</v>
      </c>
      <c r="Q70" s="29" t="s">
        <v>2547</v>
      </c>
      <c r="R70" s="29"/>
      <c r="S70" s="29" t="s">
        <v>881</v>
      </c>
      <c r="T70" s="29" t="s">
        <v>301</v>
      </c>
      <c r="U70" s="29" t="s">
        <v>2725</v>
      </c>
      <c r="V70" s="29" t="s">
        <v>421</v>
      </c>
      <c r="W70" s="29" t="s">
        <v>375</v>
      </c>
    </row>
    <row r="71" spans="1:23" x14ac:dyDescent="0.25">
      <c r="A71" s="29">
        <v>67</v>
      </c>
      <c r="B71" s="29" t="s">
        <v>478</v>
      </c>
      <c r="C71" s="29" t="s">
        <v>1996</v>
      </c>
      <c r="D71" s="29" t="s">
        <v>1712</v>
      </c>
      <c r="E71" s="29" t="s">
        <v>1712</v>
      </c>
      <c r="F71" s="29"/>
      <c r="G71" s="29"/>
      <c r="H71" s="29"/>
      <c r="I71" s="29"/>
      <c r="J71" s="13" t="s">
        <v>2964</v>
      </c>
      <c r="K71" s="13" t="s">
        <v>1199</v>
      </c>
      <c r="L71" s="13" t="s">
        <v>2299</v>
      </c>
      <c r="M71" s="15" t="s">
        <v>3636</v>
      </c>
      <c r="N71" s="13" t="s">
        <v>1699</v>
      </c>
      <c r="O71" s="13" t="s">
        <v>1200</v>
      </c>
      <c r="P71" s="29"/>
      <c r="Q71" s="29"/>
      <c r="R71" s="29"/>
      <c r="S71" s="29" t="s">
        <v>479</v>
      </c>
      <c r="T71" s="29" t="s">
        <v>228</v>
      </c>
      <c r="U71" s="29" t="s">
        <v>2706</v>
      </c>
      <c r="V71" s="29" t="s">
        <v>466</v>
      </c>
      <c r="W71" s="29" t="s">
        <v>385</v>
      </c>
    </row>
    <row r="72" spans="1:23" x14ac:dyDescent="0.25">
      <c r="A72" s="29">
        <v>68</v>
      </c>
      <c r="B72" s="29" t="s">
        <v>631</v>
      </c>
      <c r="C72" s="29" t="s">
        <v>1997</v>
      </c>
      <c r="D72" s="29" t="s">
        <v>1712</v>
      </c>
      <c r="E72" s="29" t="s">
        <v>1712</v>
      </c>
      <c r="F72" s="29"/>
      <c r="G72" s="29"/>
      <c r="H72" s="29"/>
      <c r="I72" s="29"/>
      <c r="J72" s="13" t="s">
        <v>2965</v>
      </c>
      <c r="K72" s="13" t="s">
        <v>1201</v>
      </c>
      <c r="L72" s="13" t="s">
        <v>2300</v>
      </c>
      <c r="M72" s="15" t="s">
        <v>3637</v>
      </c>
      <c r="N72" s="13" t="s">
        <v>1700</v>
      </c>
      <c r="O72" s="13" t="s">
        <v>1202</v>
      </c>
      <c r="P72" s="29"/>
      <c r="Q72" s="29"/>
      <c r="R72" s="29"/>
      <c r="S72" s="29" t="s">
        <v>632</v>
      </c>
      <c r="T72" s="29" t="s">
        <v>2665</v>
      </c>
      <c r="U72" s="29" t="s">
        <v>3248</v>
      </c>
      <c r="V72" s="29" t="s">
        <v>421</v>
      </c>
      <c r="W72" s="29" t="s">
        <v>375</v>
      </c>
    </row>
    <row r="73" spans="1:23" x14ac:dyDescent="0.25">
      <c r="A73" s="29">
        <v>69</v>
      </c>
      <c r="B73" s="29" t="s">
        <v>405</v>
      </c>
      <c r="C73" s="29" t="s">
        <v>1998</v>
      </c>
      <c r="D73" s="29" t="s">
        <v>1712</v>
      </c>
      <c r="E73" s="29" t="s">
        <v>1712</v>
      </c>
      <c r="F73" s="29"/>
      <c r="G73" s="29"/>
      <c r="H73" s="29"/>
      <c r="I73" s="29"/>
      <c r="J73" s="13" t="s">
        <v>2966</v>
      </c>
      <c r="K73" s="13" t="s">
        <v>1203</v>
      </c>
      <c r="L73" s="13" t="s">
        <v>2301</v>
      </c>
      <c r="M73" s="15" t="s">
        <v>3638</v>
      </c>
      <c r="N73" s="13" t="s">
        <v>1701</v>
      </c>
      <c r="O73" s="13" t="s">
        <v>1204</v>
      </c>
      <c r="P73" s="29" t="s">
        <v>406</v>
      </c>
      <c r="Q73" s="29" t="s">
        <v>2548</v>
      </c>
      <c r="R73" s="29"/>
      <c r="S73" s="29" t="s">
        <v>407</v>
      </c>
      <c r="T73" s="29" t="s">
        <v>222</v>
      </c>
      <c r="U73" s="29" t="s">
        <v>2718</v>
      </c>
      <c r="V73" s="29" t="s">
        <v>402</v>
      </c>
      <c r="W73" s="29" t="s">
        <v>374</v>
      </c>
    </row>
    <row r="74" spans="1:23" x14ac:dyDescent="0.25">
      <c r="A74" s="29">
        <v>70</v>
      </c>
      <c r="B74" s="29" t="s">
        <v>490</v>
      </c>
      <c r="C74" s="29" t="s">
        <v>1999</v>
      </c>
      <c r="D74" s="29" t="s">
        <v>1712</v>
      </c>
      <c r="E74" s="29" t="s">
        <v>1712</v>
      </c>
      <c r="F74" s="29"/>
      <c r="G74" s="29"/>
      <c r="H74" s="29"/>
      <c r="I74" s="29"/>
      <c r="J74" s="13" t="s">
        <v>2967</v>
      </c>
      <c r="K74" s="13" t="s">
        <v>1205</v>
      </c>
      <c r="L74" s="13" t="s">
        <v>2302</v>
      </c>
      <c r="M74" s="15" t="s">
        <v>3639</v>
      </c>
      <c r="N74" s="13" t="s">
        <v>1702</v>
      </c>
      <c r="O74" s="13" t="s">
        <v>1206</v>
      </c>
      <c r="P74" s="29"/>
      <c r="Q74" s="29"/>
      <c r="R74" s="29"/>
      <c r="S74" s="29" t="s">
        <v>491</v>
      </c>
      <c r="T74" s="29" t="s">
        <v>230</v>
      </c>
      <c r="U74" s="29" t="s">
        <v>2726</v>
      </c>
      <c r="V74" s="29" t="s">
        <v>438</v>
      </c>
      <c r="W74" s="29" t="s">
        <v>381</v>
      </c>
    </row>
    <row r="75" spans="1:23" x14ac:dyDescent="0.25">
      <c r="A75" s="29">
        <v>71</v>
      </c>
      <c r="B75" s="29" t="s">
        <v>176</v>
      </c>
      <c r="C75" s="29" t="s">
        <v>2000</v>
      </c>
      <c r="D75" s="29" t="s">
        <v>1712</v>
      </c>
      <c r="E75" s="29" t="s">
        <v>1712</v>
      </c>
      <c r="F75" s="29"/>
      <c r="G75" s="29"/>
      <c r="H75" s="29"/>
      <c r="I75" s="29"/>
      <c r="J75" s="13" t="s">
        <v>2968</v>
      </c>
      <c r="K75" s="13" t="s">
        <v>1207</v>
      </c>
      <c r="L75" s="13" t="s">
        <v>2303</v>
      </c>
      <c r="M75" s="15" t="s">
        <v>3634</v>
      </c>
      <c r="N75" s="13" t="s">
        <v>1703</v>
      </c>
      <c r="O75" s="13" t="s">
        <v>1208</v>
      </c>
      <c r="P75" s="29"/>
      <c r="Q75" s="29"/>
      <c r="R75" s="29"/>
      <c r="S75" s="29" t="s">
        <v>994</v>
      </c>
      <c r="T75" s="29" t="s">
        <v>342</v>
      </c>
      <c r="U75" s="29" t="s">
        <v>2727</v>
      </c>
      <c r="V75" s="29" t="s">
        <v>781</v>
      </c>
      <c r="W75" s="29" t="s">
        <v>779</v>
      </c>
    </row>
    <row r="76" spans="1:23" x14ac:dyDescent="0.25">
      <c r="A76" s="29">
        <v>72</v>
      </c>
      <c r="B76" s="29" t="s">
        <v>100</v>
      </c>
      <c r="C76" s="29" t="s">
        <v>2001</v>
      </c>
      <c r="D76" s="29" t="s">
        <v>3610</v>
      </c>
      <c r="E76" s="29" t="s">
        <v>1921</v>
      </c>
      <c r="F76" s="29" t="s">
        <v>3290</v>
      </c>
      <c r="G76" s="29" t="s">
        <v>3239</v>
      </c>
      <c r="H76" s="29" t="s">
        <v>3291</v>
      </c>
      <c r="I76" s="29" t="s">
        <v>3292</v>
      </c>
      <c r="J76" s="13" t="s">
        <v>2969</v>
      </c>
      <c r="K76" s="13" t="s">
        <v>1209</v>
      </c>
      <c r="L76" s="13" t="s">
        <v>2304</v>
      </c>
      <c r="M76" s="15" t="s">
        <v>3640</v>
      </c>
      <c r="N76" s="13" t="s">
        <v>3293</v>
      </c>
      <c r="O76" s="13" t="s">
        <v>1210</v>
      </c>
      <c r="P76" s="29" t="s">
        <v>864</v>
      </c>
      <c r="Q76" s="29" t="s">
        <v>2549</v>
      </c>
      <c r="R76" s="29" t="s">
        <v>3294</v>
      </c>
      <c r="S76" s="29" t="s">
        <v>865</v>
      </c>
      <c r="T76" s="29" t="s">
        <v>294</v>
      </c>
      <c r="U76" s="29" t="s">
        <v>2728</v>
      </c>
      <c r="V76" s="29" t="s">
        <v>804</v>
      </c>
      <c r="W76" s="29" t="s">
        <v>802</v>
      </c>
    </row>
    <row r="77" spans="1:23" x14ac:dyDescent="0.25">
      <c r="A77" s="29">
        <v>73</v>
      </c>
      <c r="B77" s="29" t="s">
        <v>525</v>
      </c>
      <c r="C77" s="29" t="s">
        <v>2002</v>
      </c>
      <c r="D77" s="29" t="s">
        <v>3558</v>
      </c>
      <c r="E77" s="29" t="s">
        <v>1922</v>
      </c>
      <c r="F77" s="29" t="s">
        <v>3295</v>
      </c>
      <c r="G77" s="29" t="s">
        <v>3296</v>
      </c>
      <c r="H77" s="29" t="s">
        <v>3297</v>
      </c>
      <c r="I77" s="29" t="s">
        <v>3298</v>
      </c>
      <c r="J77" s="13" t="s">
        <v>3299</v>
      </c>
      <c r="K77" s="13" t="s">
        <v>3300</v>
      </c>
      <c r="L77" s="13" t="s">
        <v>3301</v>
      </c>
      <c r="M77" s="15" t="s">
        <v>3641</v>
      </c>
      <c r="N77" s="13" t="s">
        <v>1704</v>
      </c>
      <c r="O77" s="13" t="s">
        <v>1211</v>
      </c>
      <c r="P77" s="29" t="s">
        <v>526</v>
      </c>
      <c r="Q77" s="29" t="s">
        <v>2550</v>
      </c>
      <c r="R77" s="29" t="s">
        <v>3642</v>
      </c>
      <c r="S77" s="29" t="s">
        <v>527</v>
      </c>
      <c r="T77" s="29" t="s">
        <v>4040</v>
      </c>
      <c r="U77" s="29" t="s">
        <v>4041</v>
      </c>
      <c r="V77" s="29" t="s">
        <v>528</v>
      </c>
      <c r="W77" s="29" t="s">
        <v>393</v>
      </c>
    </row>
    <row r="78" spans="1:23" x14ac:dyDescent="0.25">
      <c r="A78" s="29">
        <v>74</v>
      </c>
      <c r="B78" s="29" t="s">
        <v>408</v>
      </c>
      <c r="C78" s="29" t="s">
        <v>2003</v>
      </c>
      <c r="D78" s="29" t="s">
        <v>1712</v>
      </c>
      <c r="E78" s="29" t="s">
        <v>1712</v>
      </c>
      <c r="F78" s="29"/>
      <c r="G78" s="29"/>
      <c r="H78" s="29"/>
      <c r="I78" s="29"/>
      <c r="J78" s="13" t="s">
        <v>2970</v>
      </c>
      <c r="K78" s="13" t="s">
        <v>1212</v>
      </c>
      <c r="L78" s="13" t="s">
        <v>2305</v>
      </c>
      <c r="M78" s="15" t="s">
        <v>3643</v>
      </c>
      <c r="N78" s="13" t="s">
        <v>1705</v>
      </c>
      <c r="O78" s="13" t="s">
        <v>1213</v>
      </c>
      <c r="P78" s="29"/>
      <c r="Q78" s="29"/>
      <c r="R78" s="29"/>
      <c r="S78" s="29" t="s">
        <v>409</v>
      </c>
      <c r="T78" s="29" t="s">
        <v>2667</v>
      </c>
      <c r="U78" s="29" t="s">
        <v>2729</v>
      </c>
      <c r="V78" s="29" t="s">
        <v>410</v>
      </c>
      <c r="W78" s="29" t="s">
        <v>375</v>
      </c>
    </row>
    <row r="79" spans="1:23" x14ac:dyDescent="0.25">
      <c r="A79" s="29">
        <v>75</v>
      </c>
      <c r="B79" s="29" t="s">
        <v>52</v>
      </c>
      <c r="C79" s="29" t="s">
        <v>2004</v>
      </c>
      <c r="D79" s="29" t="s">
        <v>1712</v>
      </c>
      <c r="E79" s="29" t="s">
        <v>1712</v>
      </c>
      <c r="F79" s="29"/>
      <c r="G79" s="29"/>
      <c r="H79" s="29"/>
      <c r="I79" s="29"/>
      <c r="J79" s="13" t="s">
        <v>2971</v>
      </c>
      <c r="K79" s="13" t="s">
        <v>1214</v>
      </c>
      <c r="L79" s="13" t="s">
        <v>2306</v>
      </c>
      <c r="M79" s="15" t="s">
        <v>3644</v>
      </c>
      <c r="N79" s="13" t="s">
        <v>1706</v>
      </c>
      <c r="O79" s="13" t="s">
        <v>1215</v>
      </c>
      <c r="P79" s="29" t="s">
        <v>760</v>
      </c>
      <c r="Q79" s="29" t="s">
        <v>2551</v>
      </c>
      <c r="R79" s="29"/>
      <c r="S79" s="29" t="s">
        <v>762</v>
      </c>
      <c r="T79" s="29" t="s">
        <v>2668</v>
      </c>
      <c r="U79" s="29" t="s">
        <v>2730</v>
      </c>
      <c r="V79" s="29" t="s">
        <v>763</v>
      </c>
      <c r="W79" s="29" t="s">
        <v>761</v>
      </c>
    </row>
    <row r="80" spans="1:23" x14ac:dyDescent="0.25">
      <c r="A80" s="29">
        <v>76</v>
      </c>
      <c r="B80" s="29" t="s">
        <v>110</v>
      </c>
      <c r="C80" s="29" t="s">
        <v>2005</v>
      </c>
      <c r="D80" s="29" t="s">
        <v>1712</v>
      </c>
      <c r="E80" s="29" t="s">
        <v>1712</v>
      </c>
      <c r="F80" s="29"/>
      <c r="G80" s="29"/>
      <c r="H80" s="29"/>
      <c r="I80" s="29"/>
      <c r="J80" s="13" t="s">
        <v>2972</v>
      </c>
      <c r="K80" s="13" t="s">
        <v>1216</v>
      </c>
      <c r="L80" s="13" t="s">
        <v>2307</v>
      </c>
      <c r="M80" s="15" t="s">
        <v>3645</v>
      </c>
      <c r="N80" s="13" t="s">
        <v>1707</v>
      </c>
      <c r="O80" s="13" t="s">
        <v>1217</v>
      </c>
      <c r="P80" s="29" t="s">
        <v>882</v>
      </c>
      <c r="Q80" s="29" t="s">
        <v>2552</v>
      </c>
      <c r="R80" s="29"/>
      <c r="S80" s="29" t="s">
        <v>883</v>
      </c>
      <c r="T80" s="29" t="s">
        <v>302</v>
      </c>
      <c r="U80" s="29" t="s">
        <v>2731</v>
      </c>
      <c r="V80" s="29" t="s">
        <v>432</v>
      </c>
      <c r="W80" s="29" t="s">
        <v>379</v>
      </c>
    </row>
    <row r="81" spans="1:23" x14ac:dyDescent="0.25">
      <c r="A81" s="29">
        <v>77</v>
      </c>
      <c r="B81" s="29" t="s">
        <v>109</v>
      </c>
      <c r="C81" s="29" t="s">
        <v>2006</v>
      </c>
      <c r="D81" s="29" t="s">
        <v>1712</v>
      </c>
      <c r="E81" s="29" t="s">
        <v>1712</v>
      </c>
      <c r="F81" s="29"/>
      <c r="G81" s="29"/>
      <c r="H81" s="29"/>
      <c r="I81" s="29"/>
      <c r="J81" s="13" t="s">
        <v>2973</v>
      </c>
      <c r="K81" s="13" t="s">
        <v>1218</v>
      </c>
      <c r="L81" s="13" t="s">
        <v>2308</v>
      </c>
      <c r="M81" s="15" t="s">
        <v>3646</v>
      </c>
      <c r="N81" s="13" t="s">
        <v>1708</v>
      </c>
      <c r="O81" s="13" t="s">
        <v>1219</v>
      </c>
      <c r="P81" s="29" t="s">
        <v>879</v>
      </c>
      <c r="Q81" s="29" t="s">
        <v>2553</v>
      </c>
      <c r="R81" s="29"/>
      <c r="S81" s="29" t="s">
        <v>880</v>
      </c>
      <c r="T81" s="29" t="s">
        <v>300</v>
      </c>
      <c r="U81" s="29" t="s">
        <v>2732</v>
      </c>
      <c r="V81" s="29" t="s">
        <v>699</v>
      </c>
      <c r="W81" s="29" t="s">
        <v>697</v>
      </c>
    </row>
    <row r="82" spans="1:23" x14ac:dyDescent="0.25">
      <c r="A82" s="29">
        <v>78</v>
      </c>
      <c r="B82" s="29" t="s">
        <v>153</v>
      </c>
      <c r="C82" s="29" t="s">
        <v>2007</v>
      </c>
      <c r="D82" s="29" t="s">
        <v>3556</v>
      </c>
      <c r="E82" s="29" t="s">
        <v>1921</v>
      </c>
      <c r="F82" s="29" t="s">
        <v>3915</v>
      </c>
      <c r="G82" s="29" t="s">
        <v>3916</v>
      </c>
      <c r="H82" s="29" t="s">
        <v>3917</v>
      </c>
      <c r="I82" s="29" t="s">
        <v>3918</v>
      </c>
      <c r="J82" s="13" t="s">
        <v>3178</v>
      </c>
      <c r="K82" s="13" t="s">
        <v>1220</v>
      </c>
      <c r="L82" s="13" t="s">
        <v>2309</v>
      </c>
      <c r="M82" s="15" t="s">
        <v>3647</v>
      </c>
      <c r="N82" s="13" t="s">
        <v>1709</v>
      </c>
      <c r="O82" s="13" t="s">
        <v>1221</v>
      </c>
      <c r="P82" s="29" t="s">
        <v>3919</v>
      </c>
      <c r="Q82" s="29" t="s">
        <v>3920</v>
      </c>
      <c r="R82" s="29" t="s">
        <v>3921</v>
      </c>
      <c r="S82" s="29" t="s">
        <v>3922</v>
      </c>
      <c r="T82" s="29" t="s">
        <v>3923</v>
      </c>
      <c r="U82" s="29" t="s">
        <v>3924</v>
      </c>
      <c r="V82" s="29" t="s">
        <v>781</v>
      </c>
      <c r="W82" s="29" t="s">
        <v>779</v>
      </c>
    </row>
    <row r="83" spans="1:23" x14ac:dyDescent="0.25">
      <c r="A83" s="29">
        <v>79</v>
      </c>
      <c r="B83" s="29" t="s">
        <v>191</v>
      </c>
      <c r="C83" s="29" t="s">
        <v>2008</v>
      </c>
      <c r="D83" s="29" t="s">
        <v>3563</v>
      </c>
      <c r="E83" s="29" t="s">
        <v>1923</v>
      </c>
      <c r="F83" s="29" t="s">
        <v>4161</v>
      </c>
      <c r="G83" s="29" t="s">
        <v>4162</v>
      </c>
      <c r="H83" s="29" t="s">
        <v>4163</v>
      </c>
      <c r="I83" s="29" t="s">
        <v>4164</v>
      </c>
      <c r="J83" s="13" t="s">
        <v>2974</v>
      </c>
      <c r="K83" s="13" t="s">
        <v>1222</v>
      </c>
      <c r="L83" s="13" t="s">
        <v>2310</v>
      </c>
      <c r="M83" s="15" t="s">
        <v>3648</v>
      </c>
      <c r="N83" s="13" t="s">
        <v>1710</v>
      </c>
      <c r="O83" s="13" t="s">
        <v>1223</v>
      </c>
      <c r="P83" s="29" t="s">
        <v>4165</v>
      </c>
      <c r="Q83" s="29" t="s">
        <v>4166</v>
      </c>
      <c r="R83" s="29" t="s">
        <v>4167</v>
      </c>
      <c r="S83" s="29" t="s">
        <v>4168</v>
      </c>
      <c r="T83" s="29" t="s">
        <v>4169</v>
      </c>
      <c r="U83" s="29" t="s">
        <v>4170</v>
      </c>
      <c r="V83" s="29" t="s">
        <v>421</v>
      </c>
      <c r="W83" s="29" t="s">
        <v>375</v>
      </c>
    </row>
    <row r="84" spans="1:23" x14ac:dyDescent="0.25">
      <c r="A84" s="29">
        <v>80</v>
      </c>
      <c r="B84" s="29" t="s">
        <v>57</v>
      </c>
      <c r="C84" s="29" t="s">
        <v>2009</v>
      </c>
      <c r="D84" s="29" t="s">
        <v>1712</v>
      </c>
      <c r="E84" s="29" t="s">
        <v>1712</v>
      </c>
      <c r="F84" s="29"/>
      <c r="G84" s="29"/>
      <c r="H84" s="29"/>
      <c r="I84" s="29"/>
      <c r="J84" s="13" t="s">
        <v>2975</v>
      </c>
      <c r="K84" s="13" t="s">
        <v>1224</v>
      </c>
      <c r="L84" s="13" t="s">
        <v>2311</v>
      </c>
      <c r="M84" s="15" t="s">
        <v>3649</v>
      </c>
      <c r="N84" s="13" t="s">
        <v>1711</v>
      </c>
      <c r="O84" s="13" t="s">
        <v>1225</v>
      </c>
      <c r="P84" s="29"/>
      <c r="Q84" s="29"/>
      <c r="R84" s="29"/>
      <c r="S84" s="29" t="s">
        <v>1008</v>
      </c>
      <c r="T84" s="29" t="s">
        <v>337</v>
      </c>
      <c r="U84" s="29" t="s">
        <v>2705</v>
      </c>
      <c r="V84" s="29" t="s">
        <v>421</v>
      </c>
      <c r="W84" s="29" t="s">
        <v>375</v>
      </c>
    </row>
    <row r="85" spans="1:23" x14ac:dyDescent="0.25">
      <c r="A85" s="29">
        <v>81</v>
      </c>
      <c r="B85" s="29" t="s">
        <v>545</v>
      </c>
      <c r="C85" s="29" t="s">
        <v>2010</v>
      </c>
      <c r="D85" s="29" t="s">
        <v>1712</v>
      </c>
      <c r="E85" s="29" t="s">
        <v>1712</v>
      </c>
      <c r="F85" s="29"/>
      <c r="G85" s="29"/>
      <c r="H85" s="29"/>
      <c r="I85" s="29"/>
      <c r="J85" s="13" t="s">
        <v>1712</v>
      </c>
      <c r="K85" s="13" t="s">
        <v>1712</v>
      </c>
      <c r="L85" s="13" t="s">
        <v>1712</v>
      </c>
      <c r="M85" s="15" t="s">
        <v>1712</v>
      </c>
      <c r="N85" s="13" t="s">
        <v>1712</v>
      </c>
      <c r="O85" s="13" t="s">
        <v>1712</v>
      </c>
      <c r="P85" s="29"/>
      <c r="Q85" s="29"/>
      <c r="R85" s="29"/>
      <c r="S85" s="29" t="s">
        <v>546</v>
      </c>
      <c r="T85" s="29" t="s">
        <v>4042</v>
      </c>
      <c r="U85" s="29" t="s">
        <v>4043</v>
      </c>
      <c r="V85" s="29" t="s">
        <v>421</v>
      </c>
      <c r="W85" s="29" t="s">
        <v>375</v>
      </c>
    </row>
    <row r="86" spans="1:23" x14ac:dyDescent="0.25">
      <c r="A86" s="29">
        <v>82</v>
      </c>
      <c r="B86" s="29" t="s">
        <v>729</v>
      </c>
      <c r="C86" s="29" t="s">
        <v>2011</v>
      </c>
      <c r="D86" s="29" t="s">
        <v>1712</v>
      </c>
      <c r="E86" s="29" t="s">
        <v>1712</v>
      </c>
      <c r="F86" s="29"/>
      <c r="G86" s="29"/>
      <c r="H86" s="29"/>
      <c r="I86" s="29"/>
      <c r="J86" s="13" t="s">
        <v>2976</v>
      </c>
      <c r="K86" s="13" t="s">
        <v>1226</v>
      </c>
      <c r="L86" s="13" t="s">
        <v>2312</v>
      </c>
      <c r="M86" s="15" t="s">
        <v>3650</v>
      </c>
      <c r="N86" s="13" t="s">
        <v>1713</v>
      </c>
      <c r="O86" s="13" t="s">
        <v>1227</v>
      </c>
      <c r="P86" s="29" t="s">
        <v>730</v>
      </c>
      <c r="Q86" s="29" t="s">
        <v>2554</v>
      </c>
      <c r="R86" s="29"/>
      <c r="S86" s="29" t="s">
        <v>732</v>
      </c>
      <c r="T86" s="29" t="s">
        <v>4044</v>
      </c>
      <c r="U86" s="29" t="s">
        <v>4045</v>
      </c>
      <c r="V86" s="29" t="s">
        <v>733</v>
      </c>
      <c r="W86" s="29" t="s">
        <v>731</v>
      </c>
    </row>
    <row r="87" spans="1:23" x14ac:dyDescent="0.25">
      <c r="A87" s="29">
        <v>83</v>
      </c>
      <c r="B87" s="29" t="s">
        <v>649</v>
      </c>
      <c r="C87" s="29" t="s">
        <v>2012</v>
      </c>
      <c r="D87" s="29" t="s">
        <v>1712</v>
      </c>
      <c r="E87" s="29" t="s">
        <v>1712</v>
      </c>
      <c r="F87" s="29"/>
      <c r="G87" s="29"/>
      <c r="H87" s="29"/>
      <c r="I87" s="29"/>
      <c r="J87" s="13" t="s">
        <v>2977</v>
      </c>
      <c r="K87" s="13" t="s">
        <v>1228</v>
      </c>
      <c r="L87" s="13" t="s">
        <v>2313</v>
      </c>
      <c r="M87" s="15" t="s">
        <v>3651</v>
      </c>
      <c r="N87" s="13" t="s">
        <v>1714</v>
      </c>
      <c r="O87" s="13" t="s">
        <v>1229</v>
      </c>
      <c r="P87" s="29"/>
      <c r="Q87" s="29"/>
      <c r="R87" s="29"/>
      <c r="S87" s="29" t="s">
        <v>650</v>
      </c>
      <c r="T87" s="29" t="s">
        <v>2665</v>
      </c>
      <c r="U87" s="29" t="s">
        <v>3248</v>
      </c>
      <c r="V87" s="29" t="s">
        <v>421</v>
      </c>
      <c r="W87" s="29" t="s">
        <v>375</v>
      </c>
    </row>
    <row r="88" spans="1:23" x14ac:dyDescent="0.25">
      <c r="A88" s="29">
        <v>84</v>
      </c>
      <c r="B88" s="29" t="s">
        <v>45</v>
      </c>
      <c r="C88" s="29" t="s">
        <v>2013</v>
      </c>
      <c r="D88" s="29" t="s">
        <v>1712</v>
      </c>
      <c r="E88" s="29" t="s">
        <v>1712</v>
      </c>
      <c r="F88" s="29"/>
      <c r="G88" s="29"/>
      <c r="H88" s="29"/>
      <c r="I88" s="29"/>
      <c r="J88" s="13" t="s">
        <v>2978</v>
      </c>
      <c r="K88" s="13" t="s">
        <v>1230</v>
      </c>
      <c r="L88" s="13" t="s">
        <v>2314</v>
      </c>
      <c r="M88" s="15" t="s">
        <v>3652</v>
      </c>
      <c r="N88" s="13" t="s">
        <v>1715</v>
      </c>
      <c r="O88" s="13" t="s">
        <v>1231</v>
      </c>
      <c r="P88" s="29" t="s">
        <v>747</v>
      </c>
      <c r="Q88" s="29" t="s">
        <v>2555</v>
      </c>
      <c r="R88" s="29"/>
      <c r="S88" s="29" t="s">
        <v>748</v>
      </c>
      <c r="T88" s="29" t="s">
        <v>262</v>
      </c>
      <c r="U88" s="29" t="s">
        <v>2733</v>
      </c>
      <c r="V88" s="29" t="s">
        <v>442</v>
      </c>
      <c r="W88" s="29" t="s">
        <v>382</v>
      </c>
    </row>
    <row r="89" spans="1:23" x14ac:dyDescent="0.25">
      <c r="A89" s="29">
        <v>85</v>
      </c>
      <c r="B89" s="29" t="s">
        <v>567</v>
      </c>
      <c r="C89" s="29" t="s">
        <v>2014</v>
      </c>
      <c r="D89" s="29" t="s">
        <v>1712</v>
      </c>
      <c r="E89" s="29" t="s">
        <v>1712</v>
      </c>
      <c r="F89" s="29"/>
      <c r="G89" s="29"/>
      <c r="H89" s="29"/>
      <c r="I89" s="29"/>
      <c r="J89" s="13" t="s">
        <v>2979</v>
      </c>
      <c r="K89" s="13" t="s">
        <v>1232</v>
      </c>
      <c r="L89" s="13" t="s">
        <v>2315</v>
      </c>
      <c r="M89" s="15" t="s">
        <v>3653</v>
      </c>
      <c r="N89" s="13" t="s">
        <v>1716</v>
      </c>
      <c r="O89" s="13" t="s">
        <v>1233</v>
      </c>
      <c r="P89" s="29" t="s">
        <v>568</v>
      </c>
      <c r="Q89" s="29" t="s">
        <v>2556</v>
      </c>
      <c r="R89" s="29"/>
      <c r="S89" s="29" t="s">
        <v>569</v>
      </c>
      <c r="T89" s="29" t="s">
        <v>4046</v>
      </c>
      <c r="U89" s="29" t="s">
        <v>4047</v>
      </c>
      <c r="V89" s="29" t="s">
        <v>418</v>
      </c>
      <c r="W89" s="29" t="s">
        <v>377</v>
      </c>
    </row>
    <row r="90" spans="1:23" x14ac:dyDescent="0.25">
      <c r="A90" s="29">
        <v>86</v>
      </c>
      <c r="B90" s="29" t="s">
        <v>117</v>
      </c>
      <c r="C90" s="29" t="s">
        <v>2015</v>
      </c>
      <c r="D90" s="29" t="s">
        <v>3594</v>
      </c>
      <c r="E90" s="29" t="s">
        <v>1923</v>
      </c>
      <c r="F90" s="29" t="s">
        <v>3302</v>
      </c>
      <c r="G90" s="29" t="s">
        <v>3303</v>
      </c>
      <c r="H90" s="29" t="s">
        <v>3304</v>
      </c>
      <c r="I90" s="29" t="s">
        <v>3305</v>
      </c>
      <c r="J90" s="13" t="s">
        <v>2980</v>
      </c>
      <c r="K90" s="13" t="s">
        <v>1234</v>
      </c>
      <c r="L90" s="13" t="s">
        <v>3306</v>
      </c>
      <c r="M90" s="15" t="s">
        <v>3654</v>
      </c>
      <c r="N90" s="13" t="s">
        <v>1717</v>
      </c>
      <c r="O90" s="13" t="s">
        <v>1235</v>
      </c>
      <c r="P90" s="29" t="s">
        <v>403</v>
      </c>
      <c r="Q90" s="29" t="s">
        <v>2557</v>
      </c>
      <c r="R90" s="29" t="s">
        <v>3655</v>
      </c>
      <c r="S90" s="29" t="s">
        <v>404</v>
      </c>
      <c r="T90" s="29" t="s">
        <v>307</v>
      </c>
      <c r="U90" s="29" t="s">
        <v>2734</v>
      </c>
      <c r="V90" s="29" t="s">
        <v>905</v>
      </c>
      <c r="W90" s="29" t="s">
        <v>904</v>
      </c>
    </row>
    <row r="91" spans="1:23" x14ac:dyDescent="0.25">
      <c r="A91" s="29">
        <v>87</v>
      </c>
      <c r="B91" s="29" t="s">
        <v>563</v>
      </c>
      <c r="C91" s="29" t="s">
        <v>2016</v>
      </c>
      <c r="D91" s="29" t="s">
        <v>3563</v>
      </c>
      <c r="E91" s="29" t="s">
        <v>1923</v>
      </c>
      <c r="F91" s="29"/>
      <c r="G91" s="29"/>
      <c r="H91" s="29"/>
      <c r="I91" s="29"/>
      <c r="J91" s="13" t="s">
        <v>2981</v>
      </c>
      <c r="K91" s="13" t="s">
        <v>1236</v>
      </c>
      <c r="L91" s="13" t="s">
        <v>2316</v>
      </c>
      <c r="M91" s="15" t="s">
        <v>3656</v>
      </c>
      <c r="N91" s="13" t="s">
        <v>1718</v>
      </c>
      <c r="O91" s="13" t="s">
        <v>1237</v>
      </c>
      <c r="P91" s="29" t="s">
        <v>564</v>
      </c>
      <c r="Q91" s="29" t="s">
        <v>2558</v>
      </c>
      <c r="R91" s="29"/>
      <c r="S91" s="29" t="s">
        <v>565</v>
      </c>
      <c r="T91" s="29" t="s">
        <v>241</v>
      </c>
      <c r="U91" s="29" t="s">
        <v>2735</v>
      </c>
      <c r="V91" s="29" t="s">
        <v>528</v>
      </c>
      <c r="W91" s="29" t="s">
        <v>393</v>
      </c>
    </row>
    <row r="92" spans="1:23" x14ac:dyDescent="0.25">
      <c r="A92" s="29">
        <v>88</v>
      </c>
      <c r="B92" s="29" t="s">
        <v>459</v>
      </c>
      <c r="C92" s="29" t="s">
        <v>2017</v>
      </c>
      <c r="D92" s="29" t="s">
        <v>1712</v>
      </c>
      <c r="E92" s="29" t="s">
        <v>1712</v>
      </c>
      <c r="F92" s="29"/>
      <c r="G92" s="29"/>
      <c r="H92" s="29"/>
      <c r="I92" s="29"/>
      <c r="J92" s="13" t="s">
        <v>1667</v>
      </c>
      <c r="K92" s="13" t="s">
        <v>1667</v>
      </c>
      <c r="L92" s="13" t="s">
        <v>1667</v>
      </c>
      <c r="N92" s="13" t="s">
        <v>1667</v>
      </c>
      <c r="O92" s="13" t="s">
        <v>1238</v>
      </c>
      <c r="P92" s="29"/>
      <c r="Q92" s="29"/>
      <c r="R92" s="29"/>
      <c r="S92" s="29" t="s">
        <v>460</v>
      </c>
      <c r="T92" s="29" t="s">
        <v>4042</v>
      </c>
      <c r="U92" s="29" t="s">
        <v>4043</v>
      </c>
      <c r="V92" s="29" t="s">
        <v>421</v>
      </c>
      <c r="W92" s="29" t="s">
        <v>375</v>
      </c>
    </row>
    <row r="93" spans="1:23" x14ac:dyDescent="0.25">
      <c r="A93" s="29">
        <v>89</v>
      </c>
      <c r="B93" s="29" t="s">
        <v>522</v>
      </c>
      <c r="C93" s="29" t="s">
        <v>2018</v>
      </c>
      <c r="D93" s="29" t="s">
        <v>3594</v>
      </c>
      <c r="E93" s="29" t="s">
        <v>1923</v>
      </c>
      <c r="F93" s="29" t="s">
        <v>3307</v>
      </c>
      <c r="G93" s="29" t="s">
        <v>3308</v>
      </c>
      <c r="H93" s="29" t="s">
        <v>3309</v>
      </c>
      <c r="I93" s="29" t="s">
        <v>3310</v>
      </c>
      <c r="J93" s="13" t="s">
        <v>2982</v>
      </c>
      <c r="K93" s="13" t="s">
        <v>1239</v>
      </c>
      <c r="L93" s="13" t="s">
        <v>2317</v>
      </c>
      <c r="M93" s="15" t="s">
        <v>3657</v>
      </c>
      <c r="N93" s="13" t="s">
        <v>1719</v>
      </c>
      <c r="O93" s="13" t="s">
        <v>1240</v>
      </c>
      <c r="P93" s="29" t="s">
        <v>566</v>
      </c>
      <c r="Q93" s="29" t="s">
        <v>2559</v>
      </c>
      <c r="R93" s="29" t="s">
        <v>3311</v>
      </c>
      <c r="S93" s="29" t="s">
        <v>523</v>
      </c>
      <c r="T93" s="29" t="s">
        <v>4274</v>
      </c>
      <c r="U93" s="29" t="s">
        <v>4275</v>
      </c>
      <c r="V93" s="29" t="s">
        <v>524</v>
      </c>
      <c r="W93" s="29" t="s">
        <v>392</v>
      </c>
    </row>
    <row r="94" spans="1:23" x14ac:dyDescent="0.25">
      <c r="A94" s="29">
        <v>90</v>
      </c>
      <c r="B94" s="29" t="s">
        <v>115</v>
      </c>
      <c r="C94" s="29" t="s">
        <v>2019</v>
      </c>
      <c r="D94" s="29" t="s">
        <v>1712</v>
      </c>
      <c r="E94" s="29" t="s">
        <v>1712</v>
      </c>
      <c r="F94" s="29"/>
      <c r="G94" s="29"/>
      <c r="H94" s="29"/>
      <c r="I94" s="29"/>
      <c r="J94" s="13" t="s">
        <v>2983</v>
      </c>
      <c r="K94" s="13" t="s">
        <v>1241</v>
      </c>
      <c r="L94" s="13" t="s">
        <v>2318</v>
      </c>
      <c r="M94" s="15" t="s">
        <v>3658</v>
      </c>
      <c r="N94" s="13" t="s">
        <v>1720</v>
      </c>
      <c r="O94" s="13" t="s">
        <v>1242</v>
      </c>
      <c r="P94" s="29" t="s">
        <v>899</v>
      </c>
      <c r="Q94" s="29" t="s">
        <v>2560</v>
      </c>
      <c r="R94" s="29"/>
      <c r="S94" s="29" t="s">
        <v>492</v>
      </c>
      <c r="T94" s="29" t="s">
        <v>228</v>
      </c>
      <c r="U94" s="29" t="s">
        <v>2706</v>
      </c>
      <c r="V94" s="29" t="s">
        <v>466</v>
      </c>
      <c r="W94" s="29" t="s">
        <v>385</v>
      </c>
    </row>
    <row r="95" spans="1:23" x14ac:dyDescent="0.25">
      <c r="A95" s="29">
        <v>91</v>
      </c>
      <c r="B95" s="29" t="s">
        <v>547</v>
      </c>
      <c r="C95" s="29" t="s">
        <v>2020</v>
      </c>
      <c r="D95" s="29" t="s">
        <v>1712</v>
      </c>
      <c r="E95" s="29" t="s">
        <v>1712</v>
      </c>
      <c r="F95" s="29"/>
      <c r="G95" s="29"/>
      <c r="H95" s="29"/>
      <c r="I95" s="29"/>
      <c r="J95" s="13" t="s">
        <v>2984</v>
      </c>
      <c r="K95" s="13" t="s">
        <v>1243</v>
      </c>
      <c r="L95" s="13" t="s">
        <v>2319</v>
      </c>
      <c r="M95" s="15" t="s">
        <v>3659</v>
      </c>
      <c r="N95" s="13" t="s">
        <v>1721</v>
      </c>
      <c r="O95" s="13" t="s">
        <v>1244</v>
      </c>
      <c r="P95" s="29" t="s">
        <v>548</v>
      </c>
      <c r="Q95" s="29" t="s">
        <v>2561</v>
      </c>
      <c r="R95" s="29"/>
      <c r="S95" s="29" t="s">
        <v>549</v>
      </c>
      <c r="T95" s="29" t="s">
        <v>239</v>
      </c>
      <c r="U95" s="29" t="s">
        <v>2736</v>
      </c>
      <c r="V95" s="29" t="s">
        <v>421</v>
      </c>
      <c r="W95" s="29" t="s">
        <v>375</v>
      </c>
    </row>
    <row r="96" spans="1:23" x14ac:dyDescent="0.25">
      <c r="A96" s="29">
        <v>92</v>
      </c>
      <c r="B96" s="29" t="s">
        <v>125</v>
      </c>
      <c r="C96" s="29" t="s">
        <v>2021</v>
      </c>
      <c r="D96" s="29" t="s">
        <v>3606</v>
      </c>
      <c r="E96" s="29" t="s">
        <v>1921</v>
      </c>
      <c r="F96" s="29"/>
      <c r="G96" s="29"/>
      <c r="H96" s="29"/>
      <c r="I96" s="29"/>
      <c r="J96" s="13" t="s">
        <v>2985</v>
      </c>
      <c r="K96" s="13" t="s">
        <v>1245</v>
      </c>
      <c r="L96" s="13" t="s">
        <v>2320</v>
      </c>
      <c r="M96" s="15" t="s">
        <v>3660</v>
      </c>
      <c r="N96" s="13" t="s">
        <v>1667</v>
      </c>
      <c r="O96" s="13" t="s">
        <v>1246</v>
      </c>
      <c r="P96" s="29" t="s">
        <v>921</v>
      </c>
      <c r="Q96" s="29" t="s">
        <v>2562</v>
      </c>
      <c r="R96" s="29"/>
      <c r="S96" s="29" t="s">
        <v>922</v>
      </c>
      <c r="T96" s="29" t="s">
        <v>312</v>
      </c>
      <c r="U96" s="29" t="s">
        <v>2737</v>
      </c>
      <c r="V96" s="29" t="s">
        <v>898</v>
      </c>
      <c r="W96" s="29" t="s">
        <v>896</v>
      </c>
    </row>
    <row r="97" spans="1:23" x14ac:dyDescent="0.25">
      <c r="A97" s="29">
        <v>93</v>
      </c>
      <c r="B97" s="29" t="s">
        <v>654</v>
      </c>
      <c r="C97" s="29" t="s">
        <v>2022</v>
      </c>
      <c r="D97" s="29" t="s">
        <v>1712</v>
      </c>
      <c r="E97" s="29" t="s">
        <v>1712</v>
      </c>
      <c r="F97" s="29"/>
      <c r="G97" s="29"/>
      <c r="H97" s="29"/>
      <c r="I97" s="29"/>
      <c r="J97" s="13" t="s">
        <v>1667</v>
      </c>
      <c r="K97" s="13" t="s">
        <v>1667</v>
      </c>
      <c r="L97" s="13" t="s">
        <v>1667</v>
      </c>
      <c r="N97" s="13" t="s">
        <v>1667</v>
      </c>
      <c r="O97" s="13" t="s">
        <v>1247</v>
      </c>
      <c r="P97" s="29"/>
      <c r="Q97" s="29"/>
      <c r="R97" s="29"/>
      <c r="S97" s="29" t="s">
        <v>655</v>
      </c>
      <c r="T97" s="29" t="s">
        <v>253</v>
      </c>
      <c r="U97" s="29" t="s">
        <v>2738</v>
      </c>
      <c r="V97" s="29" t="s">
        <v>421</v>
      </c>
      <c r="W97" s="29" t="s">
        <v>375</v>
      </c>
    </row>
    <row r="98" spans="1:23" x14ac:dyDescent="0.25">
      <c r="A98" s="29">
        <v>94</v>
      </c>
      <c r="B98" s="29" t="s">
        <v>171</v>
      </c>
      <c r="C98" s="29" t="s">
        <v>2023</v>
      </c>
      <c r="D98" s="29" t="s">
        <v>3576</v>
      </c>
      <c r="E98" s="29" t="s">
        <v>1921</v>
      </c>
      <c r="F98" s="29"/>
      <c r="G98" s="29"/>
      <c r="H98" s="29"/>
      <c r="I98" s="29"/>
      <c r="J98" s="13" t="s">
        <v>2986</v>
      </c>
      <c r="K98" s="13" t="s">
        <v>1248</v>
      </c>
      <c r="L98" s="13" t="s">
        <v>2321</v>
      </c>
      <c r="M98" s="15" t="s">
        <v>3661</v>
      </c>
      <c r="N98" s="13" t="s">
        <v>1722</v>
      </c>
      <c r="O98" s="13" t="s">
        <v>1249</v>
      </c>
      <c r="P98" s="29"/>
      <c r="Q98" s="29"/>
      <c r="R98" s="29"/>
      <c r="S98" s="29" t="s">
        <v>991</v>
      </c>
      <c r="T98" s="29" t="s">
        <v>288</v>
      </c>
      <c r="U98" s="29" t="s">
        <v>2739</v>
      </c>
      <c r="V98" s="29" t="s">
        <v>418</v>
      </c>
      <c r="W98" s="29" t="s">
        <v>377</v>
      </c>
    </row>
    <row r="99" spans="1:23" x14ac:dyDescent="0.25">
      <c r="A99" s="29">
        <v>95</v>
      </c>
      <c r="B99" s="29" t="s">
        <v>196</v>
      </c>
      <c r="C99" s="29" t="s">
        <v>2024</v>
      </c>
      <c r="D99" s="29" t="s">
        <v>3576</v>
      </c>
      <c r="E99" s="29" t="s">
        <v>1921</v>
      </c>
      <c r="F99" s="29" t="s">
        <v>3312</v>
      </c>
      <c r="G99" s="29" t="s">
        <v>3313</v>
      </c>
      <c r="H99" s="29" t="s">
        <v>3314</v>
      </c>
      <c r="I99" s="29" t="s">
        <v>3315</v>
      </c>
      <c r="J99" s="13" t="s">
        <v>2987</v>
      </c>
      <c r="K99" s="13" t="s">
        <v>1250</v>
      </c>
      <c r="L99" s="13" t="s">
        <v>2322</v>
      </c>
      <c r="M99" s="15" t="s">
        <v>3662</v>
      </c>
      <c r="N99" s="13" t="s">
        <v>1723</v>
      </c>
      <c r="O99" s="13" t="s">
        <v>1251</v>
      </c>
      <c r="P99" s="29" t="s">
        <v>3316</v>
      </c>
      <c r="Q99" s="29" t="s">
        <v>3317</v>
      </c>
      <c r="R99" s="29" t="s">
        <v>3318</v>
      </c>
      <c r="S99" s="29" t="s">
        <v>663</v>
      </c>
      <c r="T99" s="29" t="s">
        <v>333</v>
      </c>
      <c r="U99" s="29" t="s">
        <v>2680</v>
      </c>
      <c r="V99" s="29" t="s">
        <v>418</v>
      </c>
      <c r="W99" s="29" t="s">
        <v>377</v>
      </c>
    </row>
    <row r="100" spans="1:23" x14ac:dyDescent="0.25">
      <c r="A100" s="29">
        <v>96</v>
      </c>
      <c r="B100" s="29" t="s">
        <v>119</v>
      </c>
      <c r="C100" s="29" t="s">
        <v>2025</v>
      </c>
      <c r="D100" s="29" t="s">
        <v>3610</v>
      </c>
      <c r="E100" s="29" t="s">
        <v>1921</v>
      </c>
      <c r="F100" s="29" t="s">
        <v>3319</v>
      </c>
      <c r="G100" s="29" t="s">
        <v>3320</v>
      </c>
      <c r="H100" s="29" t="s">
        <v>3227</v>
      </c>
      <c r="I100" s="29" t="s">
        <v>3228</v>
      </c>
      <c r="J100" s="13" t="s">
        <v>2988</v>
      </c>
      <c r="K100" s="13" t="s">
        <v>1252</v>
      </c>
      <c r="L100" s="13" t="s">
        <v>2323</v>
      </c>
      <c r="M100" s="15" t="s">
        <v>3663</v>
      </c>
      <c r="N100" s="13" t="s">
        <v>1724</v>
      </c>
      <c r="O100" s="13" t="s">
        <v>1253</v>
      </c>
      <c r="P100" s="29" t="s">
        <v>907</v>
      </c>
      <c r="Q100" s="29" t="s">
        <v>2563</v>
      </c>
      <c r="R100" s="29" t="s">
        <v>3664</v>
      </c>
      <c r="S100" s="29" t="s">
        <v>908</v>
      </c>
      <c r="T100" s="29" t="s">
        <v>309</v>
      </c>
      <c r="U100" s="29" t="s">
        <v>3321</v>
      </c>
      <c r="V100" s="29" t="s">
        <v>421</v>
      </c>
      <c r="W100" s="29" t="s">
        <v>375</v>
      </c>
    </row>
    <row r="101" spans="1:23" x14ac:dyDescent="0.25">
      <c r="A101" s="29">
        <v>97</v>
      </c>
      <c r="B101" s="29" t="s">
        <v>221</v>
      </c>
      <c r="C101" s="29" t="s">
        <v>2026</v>
      </c>
      <c r="D101" s="29" t="s">
        <v>3606</v>
      </c>
      <c r="E101" s="29" t="s">
        <v>1921</v>
      </c>
      <c r="F101" s="29"/>
      <c r="G101" s="29"/>
      <c r="H101" s="29"/>
      <c r="I101" s="29"/>
      <c r="J101" s="13" t="s">
        <v>2989</v>
      </c>
      <c r="K101" s="13" t="s">
        <v>1254</v>
      </c>
      <c r="L101" s="13" t="s">
        <v>2324</v>
      </c>
      <c r="M101" s="15" t="s">
        <v>3665</v>
      </c>
      <c r="N101" s="13" t="s">
        <v>1725</v>
      </c>
      <c r="O101" s="13" t="s">
        <v>1255</v>
      </c>
      <c r="P101" s="29"/>
      <c r="Q101" s="29"/>
      <c r="R101" s="29"/>
      <c r="S101" s="29" t="s">
        <v>461</v>
      </c>
      <c r="T101" s="29" t="s">
        <v>333</v>
      </c>
      <c r="U101" s="29" t="s">
        <v>2680</v>
      </c>
      <c r="V101" s="29" t="s">
        <v>418</v>
      </c>
      <c r="W101" s="29" t="s">
        <v>377</v>
      </c>
    </row>
    <row r="102" spans="1:23" x14ac:dyDescent="0.25">
      <c r="A102" s="29">
        <v>98</v>
      </c>
      <c r="B102" s="29" t="s">
        <v>62</v>
      </c>
      <c r="C102" s="29" t="s">
        <v>2027</v>
      </c>
      <c r="D102" s="29" t="s">
        <v>3610</v>
      </c>
      <c r="E102" s="29" t="s">
        <v>1921</v>
      </c>
      <c r="F102" s="29" t="s">
        <v>3238</v>
      </c>
      <c r="G102" s="29" t="s">
        <v>3239</v>
      </c>
      <c r="H102" s="29" t="s">
        <v>3322</v>
      </c>
      <c r="I102" s="29" t="s">
        <v>3323</v>
      </c>
      <c r="J102" s="13" t="s">
        <v>2990</v>
      </c>
      <c r="K102" s="13" t="s">
        <v>1256</v>
      </c>
      <c r="L102" s="13" t="s">
        <v>2325</v>
      </c>
      <c r="M102" s="15" t="s">
        <v>3666</v>
      </c>
      <c r="N102" s="13" t="s">
        <v>1726</v>
      </c>
      <c r="O102" s="13" t="s">
        <v>1257</v>
      </c>
      <c r="P102" s="29" t="s">
        <v>778</v>
      </c>
      <c r="Q102" s="29" t="s">
        <v>2564</v>
      </c>
      <c r="R102" s="29" t="s">
        <v>3667</v>
      </c>
      <c r="S102" s="29" t="s">
        <v>780</v>
      </c>
      <c r="T102" s="29" t="s">
        <v>2665</v>
      </c>
      <c r="U102" s="29" t="s">
        <v>4276</v>
      </c>
      <c r="V102" s="29" t="s">
        <v>781</v>
      </c>
      <c r="W102" s="29" t="s">
        <v>779</v>
      </c>
    </row>
    <row r="103" spans="1:23" x14ac:dyDescent="0.25">
      <c r="A103" s="29">
        <v>99</v>
      </c>
      <c r="B103" s="29" t="s">
        <v>483</v>
      </c>
      <c r="C103" s="29" t="s">
        <v>2028</v>
      </c>
      <c r="D103" s="29" t="s">
        <v>3572</v>
      </c>
      <c r="E103" s="29" t="s">
        <v>1922</v>
      </c>
      <c r="F103" s="29"/>
      <c r="G103" s="29"/>
      <c r="H103" s="29"/>
      <c r="I103" s="29"/>
      <c r="J103" s="13" t="s">
        <v>2991</v>
      </c>
      <c r="K103" s="13" t="s">
        <v>1258</v>
      </c>
      <c r="L103" s="13" t="s">
        <v>2326</v>
      </c>
      <c r="M103" s="15" t="s">
        <v>3668</v>
      </c>
      <c r="N103" s="13" t="s">
        <v>1727</v>
      </c>
      <c r="O103" s="13" t="s">
        <v>1259</v>
      </c>
      <c r="P103" s="29"/>
      <c r="Q103" s="29"/>
      <c r="R103" s="29"/>
      <c r="S103" s="29" t="s">
        <v>484</v>
      </c>
      <c r="T103" s="29" t="s">
        <v>4048</v>
      </c>
      <c r="U103" s="29" t="s">
        <v>4049</v>
      </c>
      <c r="V103" s="29" t="s">
        <v>421</v>
      </c>
      <c r="W103" s="29" t="s">
        <v>375</v>
      </c>
    </row>
    <row r="104" spans="1:23" x14ac:dyDescent="0.25">
      <c r="A104" s="29">
        <v>307</v>
      </c>
      <c r="B104" s="29" t="s">
        <v>3958</v>
      </c>
      <c r="C104" s="29" t="s">
        <v>3959</v>
      </c>
      <c r="D104" s="29" t="s">
        <v>3578</v>
      </c>
      <c r="E104" s="29" t="s">
        <v>1924</v>
      </c>
      <c r="F104" s="29" t="s">
        <v>3960</v>
      </c>
      <c r="G104" s="29" t="s">
        <v>3961</v>
      </c>
      <c r="H104" s="29" t="s">
        <v>3962</v>
      </c>
      <c r="I104" s="29" t="s">
        <v>3947</v>
      </c>
      <c r="J104" s="13" t="s">
        <v>3963</v>
      </c>
      <c r="K104" s="13" t="s">
        <v>3964</v>
      </c>
      <c r="L104" s="13" t="s">
        <v>4277</v>
      </c>
      <c r="M104" s="15" t="s">
        <v>3965</v>
      </c>
      <c r="N104" s="13" t="s">
        <v>3966</v>
      </c>
      <c r="O104" s="13" t="s">
        <v>3967</v>
      </c>
      <c r="P104" s="29" t="s">
        <v>3968</v>
      </c>
      <c r="Q104" s="29" t="s">
        <v>3969</v>
      </c>
      <c r="R104" s="29" t="s">
        <v>3970</v>
      </c>
      <c r="S104" s="29" t="s">
        <v>3971</v>
      </c>
      <c r="T104" s="29" t="s">
        <v>4050</v>
      </c>
      <c r="U104" s="29" t="s">
        <v>4278</v>
      </c>
      <c r="V104" s="29" t="s">
        <v>421</v>
      </c>
      <c r="W104" s="29" t="s">
        <v>375</v>
      </c>
    </row>
    <row r="105" spans="1:23" x14ac:dyDescent="0.25">
      <c r="A105" s="29">
        <v>100</v>
      </c>
      <c r="B105" s="29" t="s">
        <v>507</v>
      </c>
      <c r="C105" s="29" t="s">
        <v>2029</v>
      </c>
      <c r="D105" s="29" t="s">
        <v>1712</v>
      </c>
      <c r="E105" s="29" t="s">
        <v>1712</v>
      </c>
      <c r="F105" s="29"/>
      <c r="G105" s="29"/>
      <c r="H105" s="29"/>
      <c r="I105" s="29"/>
      <c r="J105" s="13" t="s">
        <v>2992</v>
      </c>
      <c r="K105" s="13" t="s">
        <v>1260</v>
      </c>
      <c r="L105" s="13" t="s">
        <v>2327</v>
      </c>
      <c r="M105" s="15" t="s">
        <v>3669</v>
      </c>
      <c r="N105" s="13" t="s">
        <v>1728</v>
      </c>
      <c r="O105" s="13" t="s">
        <v>1261</v>
      </c>
      <c r="P105" s="29"/>
      <c r="Q105" s="29"/>
      <c r="R105" s="29"/>
      <c r="S105" s="29" t="s">
        <v>508</v>
      </c>
      <c r="T105" s="29" t="s">
        <v>233</v>
      </c>
      <c r="U105" s="29" t="s">
        <v>2740</v>
      </c>
      <c r="V105" s="29" t="s">
        <v>421</v>
      </c>
      <c r="W105" s="29" t="s">
        <v>375</v>
      </c>
    </row>
    <row r="106" spans="1:23" x14ac:dyDescent="0.25">
      <c r="A106" s="29">
        <v>101</v>
      </c>
      <c r="B106" s="29" t="s">
        <v>126</v>
      </c>
      <c r="C106" s="29" t="s">
        <v>2030</v>
      </c>
      <c r="D106" s="29" t="s">
        <v>3566</v>
      </c>
      <c r="E106" s="29" t="s">
        <v>1921</v>
      </c>
      <c r="F106" s="29"/>
      <c r="G106" s="29"/>
      <c r="H106" s="29"/>
      <c r="I106" s="29"/>
      <c r="J106" s="13" t="s">
        <v>2993</v>
      </c>
      <c r="K106" s="13" t="s">
        <v>1262</v>
      </c>
      <c r="L106" s="13" t="s">
        <v>2328</v>
      </c>
      <c r="M106" s="15" t="s">
        <v>3670</v>
      </c>
      <c r="N106" s="13" t="s">
        <v>1729</v>
      </c>
      <c r="O106" s="13" t="s">
        <v>1263</v>
      </c>
      <c r="P106" s="29" t="s">
        <v>923</v>
      </c>
      <c r="Q106" s="29" t="s">
        <v>2565</v>
      </c>
      <c r="R106" s="29"/>
      <c r="S106" s="29" t="s">
        <v>925</v>
      </c>
      <c r="T106" s="29" t="s">
        <v>313</v>
      </c>
      <c r="U106" s="29" t="s">
        <v>2741</v>
      </c>
      <c r="V106" s="29" t="s">
        <v>926</v>
      </c>
      <c r="W106" s="29" t="s">
        <v>924</v>
      </c>
    </row>
    <row r="107" spans="1:23" x14ac:dyDescent="0.25">
      <c r="A107" s="29">
        <v>102</v>
      </c>
      <c r="B107" s="29" t="s">
        <v>47</v>
      </c>
      <c r="C107" s="29" t="s">
        <v>2031</v>
      </c>
      <c r="D107" s="29" t="s">
        <v>3578</v>
      </c>
      <c r="E107" s="29" t="s">
        <v>1924</v>
      </c>
      <c r="F107" s="29" t="s">
        <v>3324</v>
      </c>
      <c r="G107" s="29" t="s">
        <v>3325</v>
      </c>
      <c r="H107" s="29" t="s">
        <v>3314</v>
      </c>
      <c r="I107" s="29" t="s">
        <v>3326</v>
      </c>
      <c r="J107" s="13" t="s">
        <v>2994</v>
      </c>
      <c r="K107" s="13" t="s">
        <v>1264</v>
      </c>
      <c r="L107" s="13" t="s">
        <v>2329</v>
      </c>
      <c r="M107" s="15" t="s">
        <v>3671</v>
      </c>
      <c r="N107" s="13" t="s">
        <v>1730</v>
      </c>
      <c r="O107" s="13" t="s">
        <v>1265</v>
      </c>
      <c r="P107" s="29" t="s">
        <v>3327</v>
      </c>
      <c r="Q107" s="29" t="s">
        <v>3328</v>
      </c>
      <c r="R107" s="29" t="s">
        <v>3329</v>
      </c>
      <c r="S107" s="29" t="s">
        <v>752</v>
      </c>
      <c r="T107" s="29" t="s">
        <v>367</v>
      </c>
      <c r="U107" s="29" t="s">
        <v>2688</v>
      </c>
      <c r="V107" s="29" t="s">
        <v>418</v>
      </c>
      <c r="W107" s="29" t="s">
        <v>377</v>
      </c>
    </row>
    <row r="108" spans="1:23" x14ac:dyDescent="0.25">
      <c r="A108" s="29">
        <v>103</v>
      </c>
      <c r="B108" s="29" t="s">
        <v>184</v>
      </c>
      <c r="C108" s="29" t="s">
        <v>2032</v>
      </c>
      <c r="D108" s="29" t="s">
        <v>3622</v>
      </c>
      <c r="E108" s="29" t="s">
        <v>1921</v>
      </c>
      <c r="F108" s="29" t="s">
        <v>3330</v>
      </c>
      <c r="G108" s="29" t="s">
        <v>3331</v>
      </c>
      <c r="H108" s="29" t="s">
        <v>3332</v>
      </c>
      <c r="I108" s="29" t="s">
        <v>3333</v>
      </c>
      <c r="J108" s="13" t="s">
        <v>2995</v>
      </c>
      <c r="K108" s="13" t="s">
        <v>1266</v>
      </c>
      <c r="L108" s="13" t="s">
        <v>2330</v>
      </c>
      <c r="M108" s="15" t="s">
        <v>3672</v>
      </c>
      <c r="N108" s="13" t="s">
        <v>1731</v>
      </c>
      <c r="O108" s="13" t="s">
        <v>1267</v>
      </c>
      <c r="P108" s="29" t="s">
        <v>3334</v>
      </c>
      <c r="Q108" s="29" t="s">
        <v>3335</v>
      </c>
      <c r="R108" s="29" t="s">
        <v>3336</v>
      </c>
      <c r="S108" s="29" t="s">
        <v>1013</v>
      </c>
      <c r="T108" s="29" t="s">
        <v>349</v>
      </c>
      <c r="U108" s="29" t="s">
        <v>4279</v>
      </c>
      <c r="V108" s="29" t="s">
        <v>1014</v>
      </c>
      <c r="W108" s="29" t="s">
        <v>1012</v>
      </c>
    </row>
    <row r="109" spans="1:23" x14ac:dyDescent="0.25">
      <c r="A109" s="29">
        <v>104</v>
      </c>
      <c r="B109" s="29" t="s">
        <v>1062</v>
      </c>
      <c r="C109" s="29" t="s">
        <v>2033</v>
      </c>
      <c r="D109" s="29" t="s">
        <v>1712</v>
      </c>
      <c r="E109" s="29" t="s">
        <v>1712</v>
      </c>
      <c r="F109" s="29"/>
      <c r="G109" s="29"/>
      <c r="H109" s="29"/>
      <c r="I109" s="29"/>
      <c r="J109" s="13" t="s">
        <v>2996</v>
      </c>
      <c r="K109" s="13" t="s">
        <v>1268</v>
      </c>
      <c r="L109" s="13" t="s">
        <v>2331</v>
      </c>
      <c r="M109" s="15" t="s">
        <v>3673</v>
      </c>
      <c r="N109" s="13" t="s">
        <v>1732</v>
      </c>
      <c r="O109" s="13" t="s">
        <v>1269</v>
      </c>
      <c r="P109" s="29"/>
      <c r="Q109" s="29"/>
      <c r="R109" s="29"/>
      <c r="S109" s="29" t="s">
        <v>997</v>
      </c>
      <c r="T109" s="29" t="s">
        <v>4051</v>
      </c>
      <c r="U109" s="29" t="s">
        <v>4052</v>
      </c>
      <c r="V109" s="29" t="s">
        <v>442</v>
      </c>
      <c r="W109" s="29" t="s">
        <v>382</v>
      </c>
    </row>
    <row r="110" spans="1:23" x14ac:dyDescent="0.25">
      <c r="A110" s="29">
        <v>105</v>
      </c>
      <c r="B110" s="29" t="s">
        <v>514</v>
      </c>
      <c r="C110" s="29" t="s">
        <v>2034</v>
      </c>
      <c r="D110" s="29" t="s">
        <v>3556</v>
      </c>
      <c r="E110" s="29" t="s">
        <v>1921</v>
      </c>
      <c r="F110" s="29"/>
      <c r="G110" s="29"/>
      <c r="H110" s="29"/>
      <c r="I110" s="29"/>
      <c r="J110" s="13" t="s">
        <v>2997</v>
      </c>
      <c r="K110" s="13" t="s">
        <v>1270</v>
      </c>
      <c r="L110" s="13" t="s">
        <v>2332</v>
      </c>
      <c r="M110" s="15" t="s">
        <v>3674</v>
      </c>
      <c r="N110" s="13" t="s">
        <v>1733</v>
      </c>
      <c r="O110" s="13" t="s">
        <v>1271</v>
      </c>
      <c r="P110" s="29"/>
      <c r="Q110" s="29"/>
      <c r="R110" s="29"/>
      <c r="S110" s="29" t="s">
        <v>515</v>
      </c>
      <c r="T110" s="29" t="s">
        <v>2665</v>
      </c>
      <c r="U110" s="29" t="s">
        <v>3248</v>
      </c>
      <c r="V110" s="29" t="s">
        <v>421</v>
      </c>
      <c r="W110" s="29" t="s">
        <v>375</v>
      </c>
    </row>
    <row r="111" spans="1:23" x14ac:dyDescent="0.25">
      <c r="A111" s="29">
        <v>106</v>
      </c>
      <c r="B111" s="29" t="s">
        <v>88</v>
      </c>
      <c r="C111" s="29" t="s">
        <v>2035</v>
      </c>
      <c r="D111" s="29" t="s">
        <v>1712</v>
      </c>
      <c r="E111" s="29" t="s">
        <v>1712</v>
      </c>
      <c r="F111" s="29"/>
      <c r="G111" s="29"/>
      <c r="H111" s="29"/>
      <c r="I111" s="29"/>
      <c r="J111" s="13" t="s">
        <v>1667</v>
      </c>
      <c r="K111" s="13" t="s">
        <v>1667</v>
      </c>
      <c r="L111" s="13" t="s">
        <v>1667</v>
      </c>
      <c r="N111" s="13" t="s">
        <v>1734</v>
      </c>
      <c r="O111" s="13" t="s">
        <v>1272</v>
      </c>
      <c r="P111" s="29" t="s">
        <v>651</v>
      </c>
      <c r="Q111" s="29" t="s">
        <v>2566</v>
      </c>
      <c r="R111" s="29"/>
      <c r="S111" s="29" t="s">
        <v>838</v>
      </c>
      <c r="T111" s="29" t="s">
        <v>286</v>
      </c>
      <c r="U111" s="29" t="s">
        <v>2742</v>
      </c>
      <c r="V111" s="29" t="s">
        <v>839</v>
      </c>
      <c r="W111" s="29" t="s">
        <v>837</v>
      </c>
    </row>
    <row r="112" spans="1:23" x14ac:dyDescent="0.25">
      <c r="A112" s="29">
        <v>107</v>
      </c>
      <c r="B112" s="29" t="s">
        <v>628</v>
      </c>
      <c r="C112" s="29" t="s">
        <v>2036</v>
      </c>
      <c r="D112" s="29" t="s">
        <v>1712</v>
      </c>
      <c r="E112" s="29" t="s">
        <v>1712</v>
      </c>
      <c r="F112" s="29"/>
      <c r="G112" s="29"/>
      <c r="H112" s="29"/>
      <c r="I112" s="29"/>
      <c r="J112" s="13" t="s">
        <v>2998</v>
      </c>
      <c r="K112" s="13" t="s">
        <v>1273</v>
      </c>
      <c r="L112" s="13" t="s">
        <v>2333</v>
      </c>
      <c r="M112" s="15" t="s">
        <v>3675</v>
      </c>
      <c r="N112" s="13" t="s">
        <v>1735</v>
      </c>
      <c r="O112" s="13" t="s">
        <v>1274</v>
      </c>
      <c r="P112" s="29" t="s">
        <v>629</v>
      </c>
      <c r="Q112" s="29" t="s">
        <v>2567</v>
      </c>
      <c r="R112" s="29"/>
      <c r="S112" s="29" t="s">
        <v>630</v>
      </c>
      <c r="T112" s="29" t="s">
        <v>2665</v>
      </c>
      <c r="U112" s="29" t="s">
        <v>3248</v>
      </c>
      <c r="V112" s="29" t="s">
        <v>421</v>
      </c>
      <c r="W112" s="29" t="s">
        <v>375</v>
      </c>
    </row>
    <row r="113" spans="1:23" x14ac:dyDescent="0.25">
      <c r="A113" s="29">
        <v>108</v>
      </c>
      <c r="B113" s="29" t="s">
        <v>132</v>
      </c>
      <c r="C113" s="29" t="s">
        <v>2037</v>
      </c>
      <c r="D113" s="29" t="s">
        <v>1712</v>
      </c>
      <c r="E113" s="29" t="s">
        <v>1712</v>
      </c>
      <c r="F113" s="29"/>
      <c r="G113" s="29"/>
      <c r="H113" s="29"/>
      <c r="I113" s="29"/>
      <c r="J113" s="13" t="s">
        <v>2999</v>
      </c>
      <c r="K113" s="13" t="s">
        <v>1275</v>
      </c>
      <c r="L113" s="13" t="s">
        <v>2334</v>
      </c>
      <c r="M113" s="15" t="s">
        <v>3676</v>
      </c>
      <c r="N113" s="13" t="s">
        <v>1736</v>
      </c>
      <c r="O113" s="13" t="s">
        <v>1276</v>
      </c>
      <c r="P113" s="29" t="s">
        <v>936</v>
      </c>
      <c r="Q113" s="29" t="s">
        <v>2568</v>
      </c>
      <c r="R113" s="29"/>
      <c r="S113" s="29" t="s">
        <v>937</v>
      </c>
      <c r="T113" s="29" t="s">
        <v>4053</v>
      </c>
      <c r="U113" s="29" t="s">
        <v>4054</v>
      </c>
      <c r="V113" s="29" t="s">
        <v>418</v>
      </c>
      <c r="W113" s="29" t="s">
        <v>377</v>
      </c>
    </row>
    <row r="114" spans="1:23" x14ac:dyDescent="0.25">
      <c r="A114" s="29">
        <v>109</v>
      </c>
      <c r="B114" s="29" t="s">
        <v>197</v>
      </c>
      <c r="C114" s="29" t="s">
        <v>2038</v>
      </c>
      <c r="D114" s="29" t="s">
        <v>3556</v>
      </c>
      <c r="E114" s="29" t="s">
        <v>1921</v>
      </c>
      <c r="F114" s="29" t="s">
        <v>3312</v>
      </c>
      <c r="G114" s="29" t="s">
        <v>3313</v>
      </c>
      <c r="H114" s="29" t="s">
        <v>3314</v>
      </c>
      <c r="I114" s="29" t="s">
        <v>3315</v>
      </c>
      <c r="J114" s="13" t="s">
        <v>3000</v>
      </c>
      <c r="K114" s="13" t="s">
        <v>1277</v>
      </c>
      <c r="L114" s="13" t="s">
        <v>2335</v>
      </c>
      <c r="M114" s="15" t="s">
        <v>3637</v>
      </c>
      <c r="N114" s="13" t="s">
        <v>1737</v>
      </c>
      <c r="O114" s="13" t="s">
        <v>1278</v>
      </c>
      <c r="P114" s="29" t="s">
        <v>3337</v>
      </c>
      <c r="Q114" s="29" t="s">
        <v>3338</v>
      </c>
      <c r="R114" s="29" t="s">
        <v>3339</v>
      </c>
      <c r="S114" s="29" t="s">
        <v>662</v>
      </c>
      <c r="T114" s="29" t="s">
        <v>333</v>
      </c>
      <c r="U114" s="29" t="s">
        <v>2680</v>
      </c>
      <c r="V114" s="29" t="s">
        <v>418</v>
      </c>
      <c r="W114" s="29" t="s">
        <v>377</v>
      </c>
    </row>
    <row r="115" spans="1:23" x14ac:dyDescent="0.25">
      <c r="A115" s="29">
        <v>313</v>
      </c>
      <c r="B115" s="29" t="s">
        <v>4204</v>
      </c>
      <c r="C115" s="29" t="s">
        <v>4205</v>
      </c>
      <c r="D115" s="29" t="s">
        <v>3610</v>
      </c>
      <c r="E115" s="29" t="s">
        <v>1921</v>
      </c>
      <c r="F115" s="29" t="s">
        <v>4206</v>
      </c>
      <c r="G115" s="29" t="s">
        <v>4207</v>
      </c>
      <c r="H115" s="29" t="s">
        <v>4190</v>
      </c>
      <c r="I115" s="29" t="s">
        <v>4191</v>
      </c>
      <c r="J115" s="13" t="s">
        <v>4208</v>
      </c>
      <c r="K115" s="13" t="s">
        <v>4209</v>
      </c>
      <c r="L115" s="13" t="s">
        <v>4210</v>
      </c>
      <c r="M115" s="15" t="s">
        <v>4211</v>
      </c>
      <c r="N115" s="13" t="s">
        <v>4212</v>
      </c>
      <c r="O115" s="13" t="s">
        <v>4213</v>
      </c>
      <c r="P115" s="29" t="s">
        <v>4214</v>
      </c>
      <c r="Q115" s="29" t="s">
        <v>4215</v>
      </c>
      <c r="R115" s="29" t="s">
        <v>4216</v>
      </c>
      <c r="S115" s="29" t="s">
        <v>4217</v>
      </c>
      <c r="T115" s="29" t="s">
        <v>4218</v>
      </c>
      <c r="U115" s="29" t="s">
        <v>4219</v>
      </c>
      <c r="V115" s="29" t="s">
        <v>4220</v>
      </c>
      <c r="W115" s="29" t="s">
        <v>4221</v>
      </c>
    </row>
    <row r="116" spans="1:23" x14ac:dyDescent="0.25">
      <c r="A116" s="29">
        <v>110</v>
      </c>
      <c r="B116" s="29" t="s">
        <v>156</v>
      </c>
      <c r="C116" s="29" t="s">
        <v>2039</v>
      </c>
      <c r="D116" s="29" t="s">
        <v>1712</v>
      </c>
      <c r="E116" s="29" t="s">
        <v>1712</v>
      </c>
      <c r="F116" s="29"/>
      <c r="G116" s="29"/>
      <c r="H116" s="29"/>
      <c r="I116" s="29"/>
      <c r="J116" s="13" t="s">
        <v>3001</v>
      </c>
      <c r="K116" s="13" t="s">
        <v>1279</v>
      </c>
      <c r="L116" s="13" t="s">
        <v>2336</v>
      </c>
      <c r="M116" s="15" t="s">
        <v>3677</v>
      </c>
      <c r="N116" s="13" t="s">
        <v>1667</v>
      </c>
      <c r="O116" s="13" t="s">
        <v>1280</v>
      </c>
      <c r="P116" s="29"/>
      <c r="Q116" s="29"/>
      <c r="R116" s="29"/>
      <c r="S116" s="29" t="s">
        <v>999</v>
      </c>
      <c r="T116" s="29" t="s">
        <v>337</v>
      </c>
      <c r="U116" s="29" t="s">
        <v>2705</v>
      </c>
      <c r="V116" s="29" t="s">
        <v>421</v>
      </c>
      <c r="W116" s="29" t="s">
        <v>375</v>
      </c>
    </row>
    <row r="117" spans="1:23" x14ac:dyDescent="0.25">
      <c r="A117" s="29">
        <v>111</v>
      </c>
      <c r="B117" s="29" t="s">
        <v>120</v>
      </c>
      <c r="C117" s="29" t="s">
        <v>2040</v>
      </c>
      <c r="D117" s="29" t="s">
        <v>1712</v>
      </c>
      <c r="E117" s="29" t="s">
        <v>1712</v>
      </c>
      <c r="F117" s="29"/>
      <c r="G117" s="29"/>
      <c r="H117" s="29"/>
      <c r="I117" s="29"/>
      <c r="J117" s="13" t="s">
        <v>3002</v>
      </c>
      <c r="K117" s="13" t="s">
        <v>1281</v>
      </c>
      <c r="L117" s="13" t="s">
        <v>2337</v>
      </c>
      <c r="M117" s="15" t="s">
        <v>3678</v>
      </c>
      <c r="N117" s="13" t="s">
        <v>1738</v>
      </c>
      <c r="O117" s="13" t="s">
        <v>1282</v>
      </c>
      <c r="P117" s="29" t="s">
        <v>909</v>
      </c>
      <c r="Q117" s="29" t="s">
        <v>2569</v>
      </c>
      <c r="R117" s="29"/>
      <c r="S117" s="29" t="s">
        <v>910</v>
      </c>
      <c r="T117" s="29" t="s">
        <v>288</v>
      </c>
      <c r="U117" s="29" t="s">
        <v>2739</v>
      </c>
      <c r="V117" s="29" t="s">
        <v>418</v>
      </c>
      <c r="W117" s="29" t="s">
        <v>377</v>
      </c>
    </row>
    <row r="118" spans="1:23" x14ac:dyDescent="0.25">
      <c r="A118" s="29">
        <v>112</v>
      </c>
      <c r="B118" s="29" t="s">
        <v>199</v>
      </c>
      <c r="C118" s="29" t="s">
        <v>2041</v>
      </c>
      <c r="D118" s="29" t="s">
        <v>1712</v>
      </c>
      <c r="E118" s="29" t="s">
        <v>1712</v>
      </c>
      <c r="F118" s="29"/>
      <c r="G118" s="29"/>
      <c r="H118" s="29"/>
      <c r="I118" s="29"/>
      <c r="J118" s="13" t="s">
        <v>3003</v>
      </c>
      <c r="K118" s="13" t="s">
        <v>1283</v>
      </c>
      <c r="L118" s="13" t="s">
        <v>2338</v>
      </c>
      <c r="M118" s="15" t="s">
        <v>3679</v>
      </c>
      <c r="N118" s="13" t="s">
        <v>1739</v>
      </c>
      <c r="O118" s="13" t="s">
        <v>1284</v>
      </c>
      <c r="P118" s="29"/>
      <c r="Q118" s="29"/>
      <c r="R118" s="29"/>
      <c r="S118" s="29" t="s">
        <v>1055</v>
      </c>
      <c r="T118" s="29" t="s">
        <v>353</v>
      </c>
      <c r="U118" s="29" t="s">
        <v>2743</v>
      </c>
      <c r="V118" s="29" t="s">
        <v>421</v>
      </c>
      <c r="W118" s="29" t="s">
        <v>375</v>
      </c>
    </row>
    <row r="119" spans="1:23" x14ac:dyDescent="0.25">
      <c r="A119" s="29">
        <v>113</v>
      </c>
      <c r="B119" s="29" t="s">
        <v>92</v>
      </c>
      <c r="C119" s="29" t="s">
        <v>2042</v>
      </c>
      <c r="D119" s="29" t="s">
        <v>1712</v>
      </c>
      <c r="E119" s="29" t="s">
        <v>1712</v>
      </c>
      <c r="F119" s="29"/>
      <c r="G119" s="29"/>
      <c r="H119" s="29"/>
      <c r="I119" s="29"/>
      <c r="J119" s="13" t="s">
        <v>3004</v>
      </c>
      <c r="K119" s="13" t="s">
        <v>1285</v>
      </c>
      <c r="L119" s="13" t="s">
        <v>2339</v>
      </c>
      <c r="M119" s="15" t="s">
        <v>3680</v>
      </c>
      <c r="N119" s="13" t="s">
        <v>1740</v>
      </c>
      <c r="O119" s="13" t="s">
        <v>1286</v>
      </c>
      <c r="P119" s="29" t="s">
        <v>845</v>
      </c>
      <c r="Q119" s="29" t="s">
        <v>2570</v>
      </c>
      <c r="R119" s="29"/>
      <c r="S119" s="29" t="s">
        <v>846</v>
      </c>
      <c r="T119" s="29" t="s">
        <v>233</v>
      </c>
      <c r="U119" s="29" t="s">
        <v>2740</v>
      </c>
      <c r="V119" s="29" t="s">
        <v>421</v>
      </c>
      <c r="W119" s="29" t="s">
        <v>375</v>
      </c>
    </row>
    <row r="120" spans="1:23" x14ac:dyDescent="0.25">
      <c r="A120" s="29">
        <v>114</v>
      </c>
      <c r="B120" s="29" t="s">
        <v>177</v>
      </c>
      <c r="C120" s="29" t="s">
        <v>2043</v>
      </c>
      <c r="D120" s="29" t="s">
        <v>1712</v>
      </c>
      <c r="E120" s="29" t="s">
        <v>1712</v>
      </c>
      <c r="F120" s="29"/>
      <c r="G120" s="29"/>
      <c r="H120" s="29"/>
      <c r="I120" s="29"/>
      <c r="J120" s="13" t="s">
        <v>3005</v>
      </c>
      <c r="K120" s="13" t="s">
        <v>1287</v>
      </c>
      <c r="L120" s="13" t="s">
        <v>2340</v>
      </c>
      <c r="M120" s="15" t="s">
        <v>3681</v>
      </c>
      <c r="N120" s="13" t="s">
        <v>1741</v>
      </c>
      <c r="O120" s="13" t="s">
        <v>1288</v>
      </c>
      <c r="P120" s="29"/>
      <c r="Q120" s="29"/>
      <c r="R120" s="29"/>
      <c r="S120" s="29" t="s">
        <v>995</v>
      </c>
      <c r="T120" s="29" t="s">
        <v>343</v>
      </c>
      <c r="U120" s="29" t="s">
        <v>2744</v>
      </c>
      <c r="V120" s="29" t="s">
        <v>699</v>
      </c>
      <c r="W120" s="29" t="s">
        <v>717</v>
      </c>
    </row>
    <row r="121" spans="1:23" x14ac:dyDescent="0.25">
      <c r="A121" s="29">
        <v>115</v>
      </c>
      <c r="B121" s="29" t="s">
        <v>64</v>
      </c>
      <c r="C121" s="29" t="s">
        <v>2044</v>
      </c>
      <c r="D121" s="29" t="s">
        <v>3600</v>
      </c>
      <c r="E121" s="29" t="s">
        <v>1922</v>
      </c>
      <c r="F121" s="29" t="s">
        <v>3340</v>
      </c>
      <c r="G121" s="29" t="s">
        <v>3341</v>
      </c>
      <c r="H121" s="29" t="s">
        <v>3342</v>
      </c>
      <c r="I121" s="29" t="s">
        <v>3343</v>
      </c>
      <c r="J121" s="13" t="s">
        <v>3344</v>
      </c>
      <c r="K121" s="13" t="s">
        <v>3345</v>
      </c>
      <c r="L121" s="13" t="s">
        <v>3346</v>
      </c>
      <c r="M121" s="15" t="s">
        <v>3682</v>
      </c>
      <c r="N121" s="13" t="s">
        <v>1742</v>
      </c>
      <c r="O121" s="13" t="s">
        <v>1289</v>
      </c>
      <c r="P121" s="29" t="s">
        <v>783</v>
      </c>
      <c r="Q121" s="29" t="s">
        <v>2571</v>
      </c>
      <c r="R121" s="29" t="s">
        <v>3347</v>
      </c>
      <c r="S121" s="29" t="s">
        <v>784</v>
      </c>
      <c r="T121" s="29" t="s">
        <v>4055</v>
      </c>
      <c r="U121" s="29" t="s">
        <v>4056</v>
      </c>
      <c r="V121" s="29" t="s">
        <v>442</v>
      </c>
      <c r="W121" s="29" t="s">
        <v>382</v>
      </c>
    </row>
    <row r="122" spans="1:23" x14ac:dyDescent="0.25">
      <c r="A122" s="29">
        <v>116</v>
      </c>
      <c r="B122" s="29" t="s">
        <v>113</v>
      </c>
      <c r="C122" s="29" t="s">
        <v>2045</v>
      </c>
      <c r="D122" s="29" t="s">
        <v>1712</v>
      </c>
      <c r="E122" s="29" t="s">
        <v>1712</v>
      </c>
      <c r="F122" s="29"/>
      <c r="G122" s="29"/>
      <c r="H122" s="29"/>
      <c r="I122" s="29"/>
      <c r="J122" s="13" t="s">
        <v>3006</v>
      </c>
      <c r="K122" s="13" t="s">
        <v>1290</v>
      </c>
      <c r="L122" s="13" t="s">
        <v>2341</v>
      </c>
      <c r="M122" s="15" t="s">
        <v>3683</v>
      </c>
      <c r="N122" s="13" t="s">
        <v>1743</v>
      </c>
      <c r="O122" s="13" t="s">
        <v>1291</v>
      </c>
      <c r="P122" s="29" t="s">
        <v>891</v>
      </c>
      <c r="Q122" s="29" t="s">
        <v>2572</v>
      </c>
      <c r="R122" s="29"/>
      <c r="S122" s="29" t="s">
        <v>893</v>
      </c>
      <c r="T122" s="29" t="s">
        <v>305</v>
      </c>
      <c r="U122" s="29" t="s">
        <v>2745</v>
      </c>
      <c r="V122" s="29" t="s">
        <v>894</v>
      </c>
      <c r="W122" s="29" t="s">
        <v>892</v>
      </c>
    </row>
    <row r="123" spans="1:23" x14ac:dyDescent="0.25">
      <c r="A123" s="29">
        <v>117</v>
      </c>
      <c r="B123" s="29" t="s">
        <v>141</v>
      </c>
      <c r="C123" s="29" t="s">
        <v>2046</v>
      </c>
      <c r="D123" s="29" t="s">
        <v>1712</v>
      </c>
      <c r="E123" s="29" t="s">
        <v>1712</v>
      </c>
      <c r="F123" s="29"/>
      <c r="G123" s="29"/>
      <c r="H123" s="29"/>
      <c r="I123" s="29"/>
      <c r="J123" s="13" t="s">
        <v>3007</v>
      </c>
      <c r="K123" s="13" t="s">
        <v>1292</v>
      </c>
      <c r="L123" s="13" t="s">
        <v>2342</v>
      </c>
      <c r="M123" s="15" t="s">
        <v>3684</v>
      </c>
      <c r="N123" s="13" t="s">
        <v>1744</v>
      </c>
      <c r="O123" s="13" t="s">
        <v>1293</v>
      </c>
      <c r="P123" s="29"/>
      <c r="Q123" s="29"/>
      <c r="R123" s="29"/>
      <c r="S123" s="29" t="s">
        <v>959</v>
      </c>
      <c r="T123" s="29" t="s">
        <v>323</v>
      </c>
      <c r="U123" s="29" t="s">
        <v>2746</v>
      </c>
      <c r="V123" s="29" t="s">
        <v>428</v>
      </c>
      <c r="W123" s="29" t="s">
        <v>958</v>
      </c>
    </row>
    <row r="124" spans="1:23" x14ac:dyDescent="0.25">
      <c r="A124" s="29">
        <v>118</v>
      </c>
      <c r="B124" s="29" t="s">
        <v>1063</v>
      </c>
      <c r="C124" s="29" t="s">
        <v>2047</v>
      </c>
      <c r="D124" s="29" t="s">
        <v>1712</v>
      </c>
      <c r="E124" s="29" t="s">
        <v>1712</v>
      </c>
      <c r="F124" s="29"/>
      <c r="G124" s="29"/>
      <c r="H124" s="29"/>
      <c r="I124" s="29"/>
      <c r="J124" s="13" t="s">
        <v>3008</v>
      </c>
      <c r="K124" s="13" t="s">
        <v>1294</v>
      </c>
      <c r="L124" s="13" t="s">
        <v>2343</v>
      </c>
      <c r="M124" s="15" t="s">
        <v>3685</v>
      </c>
      <c r="N124" s="13" t="s">
        <v>1745</v>
      </c>
      <c r="O124" s="13" t="s">
        <v>1295</v>
      </c>
      <c r="P124" s="29" t="s">
        <v>737</v>
      </c>
      <c r="Q124" s="29" t="s">
        <v>2573</v>
      </c>
      <c r="R124" s="29"/>
      <c r="S124" s="29" t="s">
        <v>738</v>
      </c>
      <c r="T124" s="29" t="s">
        <v>2665</v>
      </c>
      <c r="U124" s="29" t="s">
        <v>3248</v>
      </c>
      <c r="V124" s="29" t="s">
        <v>421</v>
      </c>
      <c r="W124" s="29" t="s">
        <v>375</v>
      </c>
    </row>
    <row r="125" spans="1:23" x14ac:dyDescent="0.25">
      <c r="A125" s="29">
        <v>119</v>
      </c>
      <c r="B125" s="29" t="s">
        <v>215</v>
      </c>
      <c r="C125" s="29" t="s">
        <v>2048</v>
      </c>
      <c r="D125" s="29" t="s">
        <v>1712</v>
      </c>
      <c r="E125" s="29" t="s">
        <v>1712</v>
      </c>
      <c r="F125" s="29"/>
      <c r="G125" s="29"/>
      <c r="H125" s="29"/>
      <c r="I125" s="29"/>
      <c r="J125" s="13" t="s">
        <v>3009</v>
      </c>
      <c r="K125" s="13" t="s">
        <v>1296</v>
      </c>
      <c r="L125" s="13" t="s">
        <v>2344</v>
      </c>
      <c r="M125" s="15" t="s">
        <v>3686</v>
      </c>
      <c r="N125" s="13" t="s">
        <v>1746</v>
      </c>
      <c r="O125" s="13" t="s">
        <v>1297</v>
      </c>
      <c r="P125" s="29"/>
      <c r="Q125" s="29"/>
      <c r="R125" s="29"/>
      <c r="S125" s="29" t="s">
        <v>1045</v>
      </c>
      <c r="T125" s="29" t="s">
        <v>366</v>
      </c>
      <c r="U125" s="29" t="s">
        <v>2747</v>
      </c>
      <c r="V125" s="29" t="s">
        <v>926</v>
      </c>
      <c r="W125" s="29" t="s">
        <v>924</v>
      </c>
    </row>
    <row r="126" spans="1:23" x14ac:dyDescent="0.25">
      <c r="A126" s="29">
        <v>120</v>
      </c>
      <c r="B126" s="29" t="s">
        <v>711</v>
      </c>
      <c r="C126" s="29" t="s">
        <v>2049</v>
      </c>
      <c r="D126" s="29" t="s">
        <v>1712</v>
      </c>
      <c r="E126" s="29" t="s">
        <v>1712</v>
      </c>
      <c r="F126" s="29"/>
      <c r="G126" s="29"/>
      <c r="H126" s="29"/>
      <c r="I126" s="29"/>
      <c r="J126" s="13" t="s">
        <v>3170</v>
      </c>
      <c r="K126" s="13" t="s">
        <v>1298</v>
      </c>
      <c r="L126" s="13" t="s">
        <v>2345</v>
      </c>
      <c r="M126" s="15" t="s">
        <v>3687</v>
      </c>
      <c r="N126" s="13" t="s">
        <v>1747</v>
      </c>
      <c r="O126" s="13" t="s">
        <v>1299</v>
      </c>
      <c r="P126" s="29" t="s">
        <v>712</v>
      </c>
      <c r="Q126" s="29" t="s">
        <v>2574</v>
      </c>
      <c r="R126" s="29"/>
      <c r="S126" s="29" t="s">
        <v>713</v>
      </c>
      <c r="T126" s="29" t="s">
        <v>259</v>
      </c>
      <c r="U126" s="29" t="s">
        <v>2748</v>
      </c>
      <c r="V126" s="29" t="s">
        <v>421</v>
      </c>
      <c r="W126" s="29" t="s">
        <v>375</v>
      </c>
    </row>
    <row r="127" spans="1:23" x14ac:dyDescent="0.25">
      <c r="A127" s="29">
        <v>306</v>
      </c>
      <c r="B127" s="29" t="s">
        <v>3942</v>
      </c>
      <c r="C127" s="29" t="s">
        <v>3943</v>
      </c>
      <c r="D127" s="29" t="s">
        <v>3566</v>
      </c>
      <c r="E127" s="29" t="s">
        <v>1921</v>
      </c>
      <c r="F127" s="29" t="s">
        <v>3944</v>
      </c>
      <c r="G127" s="29" t="s">
        <v>3945</v>
      </c>
      <c r="H127" s="29" t="s">
        <v>3946</v>
      </c>
      <c r="I127" s="29" t="s">
        <v>3947</v>
      </c>
      <c r="J127" s="13" t="s">
        <v>3948</v>
      </c>
      <c r="K127" s="13" t="s">
        <v>3949</v>
      </c>
      <c r="L127" s="13" t="s">
        <v>3950</v>
      </c>
      <c r="M127" s="15" t="s">
        <v>3951</v>
      </c>
      <c r="N127" s="13" t="s">
        <v>3952</v>
      </c>
      <c r="O127" s="13" t="s">
        <v>3953</v>
      </c>
      <c r="P127" s="29" t="s">
        <v>3954</v>
      </c>
      <c r="Q127" s="29" t="s">
        <v>3955</v>
      </c>
      <c r="R127" s="29" t="s">
        <v>3956</v>
      </c>
      <c r="S127" s="29" t="s">
        <v>3957</v>
      </c>
      <c r="T127" s="29" t="s">
        <v>4057</v>
      </c>
      <c r="U127" s="29" t="s">
        <v>4058</v>
      </c>
      <c r="V127" s="29" t="s">
        <v>421</v>
      </c>
      <c r="W127" s="29" t="s">
        <v>375</v>
      </c>
    </row>
    <row r="128" spans="1:23" x14ac:dyDescent="0.25">
      <c r="A128" s="29">
        <v>121</v>
      </c>
      <c r="B128" s="29" t="s">
        <v>43</v>
      </c>
      <c r="C128" s="29" t="s">
        <v>2050</v>
      </c>
      <c r="D128" s="29" t="s">
        <v>1712</v>
      </c>
      <c r="E128" s="29" t="s">
        <v>1712</v>
      </c>
      <c r="F128" s="29"/>
      <c r="G128" s="29"/>
      <c r="H128" s="29"/>
      <c r="I128" s="29"/>
      <c r="J128" s="13" t="s">
        <v>3010</v>
      </c>
      <c r="K128" s="13" t="s">
        <v>1300</v>
      </c>
      <c r="L128" s="13" t="s">
        <v>2346</v>
      </c>
      <c r="M128" s="15" t="s">
        <v>3688</v>
      </c>
      <c r="N128" s="13" t="s">
        <v>1748</v>
      </c>
      <c r="O128" s="13" t="s">
        <v>1301</v>
      </c>
      <c r="P128" s="29" t="s">
        <v>739</v>
      </c>
      <c r="Q128" s="29" t="s">
        <v>2575</v>
      </c>
      <c r="R128" s="29"/>
      <c r="S128" s="29" t="s">
        <v>741</v>
      </c>
      <c r="T128" s="29" t="s">
        <v>231</v>
      </c>
      <c r="U128" s="29" t="s">
        <v>2717</v>
      </c>
      <c r="V128" s="29" t="s">
        <v>742</v>
      </c>
      <c r="W128" s="29" t="s">
        <v>740</v>
      </c>
    </row>
    <row r="129" spans="1:23" x14ac:dyDescent="0.25">
      <c r="A129" s="29">
        <v>122</v>
      </c>
      <c r="B129" s="29" t="s">
        <v>487</v>
      </c>
      <c r="C129" s="29" t="s">
        <v>2051</v>
      </c>
      <c r="D129" s="29" t="s">
        <v>3563</v>
      </c>
      <c r="E129" s="29" t="s">
        <v>1923</v>
      </c>
      <c r="F129" s="29" t="s">
        <v>3348</v>
      </c>
      <c r="G129" s="29" t="s">
        <v>3349</v>
      </c>
      <c r="H129" s="29" t="s">
        <v>3350</v>
      </c>
      <c r="I129" s="29" t="s">
        <v>3351</v>
      </c>
      <c r="J129" s="13" t="s">
        <v>3011</v>
      </c>
      <c r="K129" s="13" t="s">
        <v>1302</v>
      </c>
      <c r="L129" s="13" t="s">
        <v>4280</v>
      </c>
      <c r="M129" s="15" t="s">
        <v>3689</v>
      </c>
      <c r="N129" s="13" t="s">
        <v>1749</v>
      </c>
      <c r="O129" s="13" t="s">
        <v>1303</v>
      </c>
      <c r="P129" s="29" t="s">
        <v>488</v>
      </c>
      <c r="Q129" s="29" t="s">
        <v>2576</v>
      </c>
      <c r="R129" s="29" t="s">
        <v>3352</v>
      </c>
      <c r="S129" s="29" t="s">
        <v>489</v>
      </c>
      <c r="T129" s="29" t="s">
        <v>4059</v>
      </c>
      <c r="U129" s="29" t="s">
        <v>4060</v>
      </c>
      <c r="V129" s="29" t="s">
        <v>445</v>
      </c>
      <c r="W129" s="29" t="s">
        <v>383</v>
      </c>
    </row>
    <row r="130" spans="1:23" x14ac:dyDescent="0.25">
      <c r="A130" s="29">
        <v>123</v>
      </c>
      <c r="B130" s="29" t="s">
        <v>439</v>
      </c>
      <c r="C130" s="29" t="s">
        <v>2052</v>
      </c>
      <c r="D130" s="29" t="s">
        <v>3606</v>
      </c>
      <c r="E130" s="29" t="s">
        <v>1921</v>
      </c>
      <c r="F130" s="29" t="s">
        <v>3353</v>
      </c>
      <c r="G130" s="29" t="s">
        <v>3354</v>
      </c>
      <c r="H130" s="29" t="s">
        <v>3355</v>
      </c>
      <c r="I130" s="29" t="s">
        <v>3356</v>
      </c>
      <c r="J130" s="13" t="s">
        <v>3012</v>
      </c>
      <c r="K130" s="13" t="s">
        <v>1304</v>
      </c>
      <c r="L130" s="13" t="s">
        <v>2347</v>
      </c>
      <c r="M130" s="15" t="s">
        <v>3690</v>
      </c>
      <c r="N130" s="13" t="s">
        <v>1750</v>
      </c>
      <c r="O130" s="13" t="s">
        <v>1305</v>
      </c>
      <c r="P130" s="29" t="s">
        <v>440</v>
      </c>
      <c r="Q130" s="29" t="s">
        <v>2577</v>
      </c>
      <c r="R130" s="29" t="s">
        <v>3357</v>
      </c>
      <c r="S130" s="29" t="s">
        <v>441</v>
      </c>
      <c r="T130" s="29" t="s">
        <v>4061</v>
      </c>
      <c r="U130" s="29" t="s">
        <v>4062</v>
      </c>
      <c r="V130" s="29" t="s">
        <v>442</v>
      </c>
      <c r="W130" s="29" t="s">
        <v>382</v>
      </c>
    </row>
    <row r="131" spans="1:23" x14ac:dyDescent="0.25">
      <c r="A131" s="29">
        <v>124</v>
      </c>
      <c r="B131" s="29" t="s">
        <v>104</v>
      </c>
      <c r="C131" s="29" t="s">
        <v>2053</v>
      </c>
      <c r="D131" s="29" t="s">
        <v>3629</v>
      </c>
      <c r="E131" s="29" t="s">
        <v>1921</v>
      </c>
      <c r="F131" s="29" t="s">
        <v>3358</v>
      </c>
      <c r="G131" s="29" t="s">
        <v>3359</v>
      </c>
      <c r="H131" s="29" t="s">
        <v>3360</v>
      </c>
      <c r="I131" s="29" t="s">
        <v>3361</v>
      </c>
      <c r="J131" s="13" t="s">
        <v>3013</v>
      </c>
      <c r="K131" s="13" t="s">
        <v>1306</v>
      </c>
      <c r="L131" s="13" t="s">
        <v>2348</v>
      </c>
      <c r="M131" s="15" t="s">
        <v>3691</v>
      </c>
      <c r="N131" s="13" t="s">
        <v>1751</v>
      </c>
      <c r="O131" s="13" t="s">
        <v>1307</v>
      </c>
      <c r="P131" s="29" t="s">
        <v>3362</v>
      </c>
      <c r="Q131" s="29" t="s">
        <v>3363</v>
      </c>
      <c r="R131" s="29" t="s">
        <v>3364</v>
      </c>
      <c r="S131" s="29" t="s">
        <v>1011</v>
      </c>
      <c r="T131" s="29" t="s">
        <v>348</v>
      </c>
      <c r="U131" s="29" t="s">
        <v>2749</v>
      </c>
      <c r="V131" s="29" t="s">
        <v>763</v>
      </c>
      <c r="W131" s="29" t="s">
        <v>761</v>
      </c>
    </row>
    <row r="132" spans="1:23" x14ac:dyDescent="0.25">
      <c r="A132" s="29">
        <v>125</v>
      </c>
      <c r="B132" s="29" t="s">
        <v>146</v>
      </c>
      <c r="C132" s="29" t="s">
        <v>2054</v>
      </c>
      <c r="D132" s="29" t="s">
        <v>1712</v>
      </c>
      <c r="E132" s="29" t="s">
        <v>1712</v>
      </c>
      <c r="F132" s="29"/>
      <c r="G132" s="29"/>
      <c r="H132" s="29"/>
      <c r="I132" s="29"/>
      <c r="J132" s="13" t="s">
        <v>3014</v>
      </c>
      <c r="K132" s="13" t="s">
        <v>1308</v>
      </c>
      <c r="L132" s="13" t="s">
        <v>2349</v>
      </c>
      <c r="M132" s="15" t="s">
        <v>3692</v>
      </c>
      <c r="N132" s="13" t="s">
        <v>1752</v>
      </c>
      <c r="O132" s="13" t="s">
        <v>1309</v>
      </c>
      <c r="P132" s="29"/>
      <c r="Q132" s="29"/>
      <c r="R132" s="29"/>
      <c r="S132" s="29" t="s">
        <v>965</v>
      </c>
      <c r="T132" s="29" t="s">
        <v>326</v>
      </c>
      <c r="U132" s="29" t="s">
        <v>2750</v>
      </c>
      <c r="V132" s="29" t="s">
        <v>421</v>
      </c>
      <c r="W132" s="29" t="s">
        <v>375</v>
      </c>
    </row>
    <row r="133" spans="1:23" x14ac:dyDescent="0.25">
      <c r="A133" s="29">
        <v>126</v>
      </c>
      <c r="B133" s="29" t="s">
        <v>703</v>
      </c>
      <c r="C133" s="29" t="s">
        <v>2055</v>
      </c>
      <c r="D133" s="29" t="s">
        <v>3566</v>
      </c>
      <c r="E133" s="29" t="s">
        <v>1921</v>
      </c>
      <c r="F133" s="29"/>
      <c r="G133" s="29"/>
      <c r="H133" s="29"/>
      <c r="I133" s="29"/>
      <c r="J133" s="13" t="s">
        <v>3171</v>
      </c>
      <c r="K133" s="13" t="s">
        <v>1310</v>
      </c>
      <c r="L133" s="13" t="s">
        <v>2350</v>
      </c>
      <c r="M133" s="15" t="s">
        <v>3693</v>
      </c>
      <c r="N133" s="13" t="s">
        <v>1753</v>
      </c>
      <c r="O133" s="13" t="s">
        <v>1311</v>
      </c>
      <c r="P133" s="29" t="s">
        <v>704</v>
      </c>
      <c r="Q133" s="29" t="s">
        <v>2578</v>
      </c>
      <c r="R133" s="29"/>
      <c r="S133" s="29" t="s">
        <v>705</v>
      </c>
      <c r="T133" s="29" t="s">
        <v>4063</v>
      </c>
      <c r="U133" s="29" t="s">
        <v>4064</v>
      </c>
      <c r="V133" s="29" t="s">
        <v>528</v>
      </c>
      <c r="W133" s="29" t="s">
        <v>393</v>
      </c>
    </row>
    <row r="134" spans="1:23" x14ac:dyDescent="0.25">
      <c r="A134" s="29">
        <v>127</v>
      </c>
      <c r="B134" s="29" t="s">
        <v>723</v>
      </c>
      <c r="C134" s="29" t="s">
        <v>2056</v>
      </c>
      <c r="D134" s="29" t="s">
        <v>1712</v>
      </c>
      <c r="E134" s="29" t="s">
        <v>1712</v>
      </c>
      <c r="F134" s="29"/>
      <c r="G134" s="29"/>
      <c r="H134" s="29"/>
      <c r="I134" s="29"/>
      <c r="J134" s="13" t="s">
        <v>3172</v>
      </c>
      <c r="K134" s="13" t="s">
        <v>1312</v>
      </c>
      <c r="L134" s="13" t="s">
        <v>2351</v>
      </c>
      <c r="M134" s="15" t="s">
        <v>3694</v>
      </c>
      <c r="N134" s="13" t="s">
        <v>1754</v>
      </c>
      <c r="O134" s="13" t="s">
        <v>1313</v>
      </c>
      <c r="P134" s="29" t="s">
        <v>724</v>
      </c>
      <c r="Q134" s="29" t="s">
        <v>2579</v>
      </c>
      <c r="R134" s="29"/>
      <c r="S134" s="29" t="s">
        <v>725</v>
      </c>
      <c r="T134" s="29" t="s">
        <v>2669</v>
      </c>
      <c r="U134" s="29" t="s">
        <v>2751</v>
      </c>
      <c r="V134" s="29" t="s">
        <v>438</v>
      </c>
      <c r="W134" s="29" t="s">
        <v>381</v>
      </c>
    </row>
    <row r="135" spans="1:23" x14ac:dyDescent="0.25">
      <c r="A135" s="29">
        <v>128</v>
      </c>
      <c r="B135" s="29" t="s">
        <v>509</v>
      </c>
      <c r="C135" s="29" t="s">
        <v>2057</v>
      </c>
      <c r="D135" s="29" t="s">
        <v>3558</v>
      </c>
      <c r="E135" s="29" t="s">
        <v>1922</v>
      </c>
      <c r="F135" s="29"/>
      <c r="G135" s="29"/>
      <c r="H135" s="29"/>
      <c r="I135" s="29"/>
      <c r="J135" s="13" t="s">
        <v>3015</v>
      </c>
      <c r="K135" s="13" t="s">
        <v>1314</v>
      </c>
      <c r="L135" s="13" t="s">
        <v>2352</v>
      </c>
      <c r="M135" s="15" t="s">
        <v>3695</v>
      </c>
      <c r="N135" s="13" t="s">
        <v>1755</v>
      </c>
      <c r="O135" s="13" t="s">
        <v>1315</v>
      </c>
      <c r="P135" s="29"/>
      <c r="Q135" s="29"/>
      <c r="R135" s="29"/>
      <c r="S135" s="29" t="s">
        <v>510</v>
      </c>
      <c r="T135" s="29" t="s">
        <v>233</v>
      </c>
      <c r="U135" s="29" t="s">
        <v>2740</v>
      </c>
      <c r="V135" s="29" t="s">
        <v>421</v>
      </c>
      <c r="W135" s="29" t="s">
        <v>375</v>
      </c>
    </row>
    <row r="136" spans="1:23" x14ac:dyDescent="0.25">
      <c r="A136" s="29">
        <v>129</v>
      </c>
      <c r="B136" s="29" t="s">
        <v>90</v>
      </c>
      <c r="C136" s="29" t="s">
        <v>2058</v>
      </c>
      <c r="D136" s="29" t="s">
        <v>1712</v>
      </c>
      <c r="E136" s="29" t="s">
        <v>1712</v>
      </c>
      <c r="F136" s="29"/>
      <c r="G136" s="29"/>
      <c r="H136" s="29"/>
      <c r="I136" s="29"/>
      <c r="J136" s="13" t="s">
        <v>3016</v>
      </c>
      <c r="K136" s="13" t="s">
        <v>1316</v>
      </c>
      <c r="L136" s="13" t="s">
        <v>2353</v>
      </c>
      <c r="M136" s="15" t="s">
        <v>3696</v>
      </c>
      <c r="N136" s="13" t="s">
        <v>1756</v>
      </c>
      <c r="O136" s="13" t="s">
        <v>1317</v>
      </c>
      <c r="P136" s="29" t="s">
        <v>842</v>
      </c>
      <c r="Q136" s="29" t="s">
        <v>2580</v>
      </c>
      <c r="R136" s="29"/>
      <c r="S136" s="29" t="s">
        <v>843</v>
      </c>
      <c r="T136" s="29" t="s">
        <v>288</v>
      </c>
      <c r="U136" s="29" t="s">
        <v>2739</v>
      </c>
      <c r="V136" s="29" t="s">
        <v>418</v>
      </c>
      <c r="W136" s="29" t="s">
        <v>377</v>
      </c>
    </row>
    <row r="137" spans="1:23" x14ac:dyDescent="0.25">
      <c r="A137" s="29">
        <v>130</v>
      </c>
      <c r="B137" s="29" t="s">
        <v>95</v>
      </c>
      <c r="C137" s="29" t="s">
        <v>2059</v>
      </c>
      <c r="D137" s="29" t="s">
        <v>1712</v>
      </c>
      <c r="E137" s="29" t="s">
        <v>1712</v>
      </c>
      <c r="F137" s="29"/>
      <c r="G137" s="29"/>
      <c r="H137" s="29"/>
      <c r="I137" s="29"/>
      <c r="J137" s="13" t="s">
        <v>3017</v>
      </c>
      <c r="K137" s="13" t="s">
        <v>1318</v>
      </c>
      <c r="L137" s="13" t="s">
        <v>2354</v>
      </c>
      <c r="M137" s="15" t="s">
        <v>3697</v>
      </c>
      <c r="N137" s="13" t="s">
        <v>1757</v>
      </c>
      <c r="O137" s="13" t="s">
        <v>1319</v>
      </c>
      <c r="P137" s="29" t="s">
        <v>854</v>
      </c>
      <c r="Q137" s="29" t="s">
        <v>2581</v>
      </c>
      <c r="R137" s="29"/>
      <c r="S137" s="29" t="s">
        <v>855</v>
      </c>
      <c r="T137" s="29" t="s">
        <v>291</v>
      </c>
      <c r="U137" s="29" t="s">
        <v>2709</v>
      </c>
      <c r="V137" s="29" t="s">
        <v>418</v>
      </c>
      <c r="W137" s="29" t="s">
        <v>377</v>
      </c>
    </row>
    <row r="138" spans="1:23" x14ac:dyDescent="0.25">
      <c r="A138" s="29">
        <v>131</v>
      </c>
      <c r="B138" s="29" t="s">
        <v>102</v>
      </c>
      <c r="C138" s="29" t="s">
        <v>2060</v>
      </c>
      <c r="D138" s="29" t="s">
        <v>1712</v>
      </c>
      <c r="E138" s="29" t="s">
        <v>1712</v>
      </c>
      <c r="F138" s="29"/>
      <c r="G138" s="29"/>
      <c r="H138" s="29"/>
      <c r="I138" s="29"/>
      <c r="J138" s="13" t="s">
        <v>3018</v>
      </c>
      <c r="K138" s="13" t="s">
        <v>1320</v>
      </c>
      <c r="L138" s="13" t="s">
        <v>2355</v>
      </c>
      <c r="M138" s="15" t="s">
        <v>3698</v>
      </c>
      <c r="N138" s="13" t="s">
        <v>1758</v>
      </c>
      <c r="O138" s="13" t="s">
        <v>1321</v>
      </c>
      <c r="P138" s="29"/>
      <c r="Q138" s="29"/>
      <c r="R138" s="29"/>
      <c r="S138" s="29" t="s">
        <v>993</v>
      </c>
      <c r="T138" s="29" t="s">
        <v>341</v>
      </c>
      <c r="U138" s="29" t="s">
        <v>2752</v>
      </c>
      <c r="V138" s="29" t="s">
        <v>742</v>
      </c>
      <c r="W138" s="29" t="s">
        <v>740</v>
      </c>
    </row>
    <row r="139" spans="1:23" x14ac:dyDescent="0.25">
      <c r="A139" s="29">
        <v>132</v>
      </c>
      <c r="B139" s="29" t="s">
        <v>160</v>
      </c>
      <c r="C139" s="29" t="s">
        <v>2061</v>
      </c>
      <c r="D139" s="29" t="s">
        <v>1712</v>
      </c>
      <c r="E139" s="29" t="s">
        <v>1712</v>
      </c>
      <c r="F139" s="29"/>
      <c r="G139" s="29"/>
      <c r="H139" s="29"/>
      <c r="I139" s="29"/>
      <c r="J139" s="13" t="s">
        <v>3019</v>
      </c>
      <c r="K139" s="13" t="s">
        <v>1187</v>
      </c>
      <c r="L139" s="13" t="s">
        <v>2293</v>
      </c>
      <c r="M139" s="15" t="s">
        <v>3699</v>
      </c>
      <c r="N139" s="13" t="s">
        <v>1759</v>
      </c>
      <c r="O139" s="13" t="s">
        <v>1322</v>
      </c>
      <c r="P139" s="29"/>
      <c r="Q139" s="29"/>
      <c r="R139" s="29"/>
      <c r="S139" s="29" t="s">
        <v>980</v>
      </c>
      <c r="T139" s="29" t="s">
        <v>334</v>
      </c>
      <c r="U139" s="29" t="s">
        <v>2683</v>
      </c>
      <c r="V139" s="29" t="s">
        <v>421</v>
      </c>
      <c r="W139" s="29" t="s">
        <v>375</v>
      </c>
    </row>
    <row r="140" spans="1:23" x14ac:dyDescent="0.25">
      <c r="A140" s="29">
        <v>133</v>
      </c>
      <c r="B140" s="29" t="s">
        <v>167</v>
      </c>
      <c r="C140" s="29" t="s">
        <v>2062</v>
      </c>
      <c r="D140" s="29" t="s">
        <v>1712</v>
      </c>
      <c r="E140" s="29" t="s">
        <v>1712</v>
      </c>
      <c r="F140" s="29"/>
      <c r="G140" s="29"/>
      <c r="H140" s="29"/>
      <c r="I140" s="29"/>
      <c r="J140" s="13" t="s">
        <v>1712</v>
      </c>
      <c r="K140" s="13" t="s">
        <v>1323</v>
      </c>
      <c r="L140" s="13" t="s">
        <v>2356</v>
      </c>
      <c r="M140" s="15" t="s">
        <v>3700</v>
      </c>
      <c r="N140" s="13" t="s">
        <v>1760</v>
      </c>
      <c r="O140" s="13" t="s">
        <v>1324</v>
      </c>
      <c r="P140" s="29"/>
      <c r="Q140" s="29"/>
      <c r="R140" s="29"/>
      <c r="S140" s="29" t="s">
        <v>986</v>
      </c>
      <c r="T140" s="29" t="s">
        <v>326</v>
      </c>
      <c r="U140" s="29" t="s">
        <v>2750</v>
      </c>
      <c r="V140" s="29" t="s">
        <v>421</v>
      </c>
      <c r="W140" s="29" t="s">
        <v>375</v>
      </c>
    </row>
    <row r="141" spans="1:23" x14ac:dyDescent="0.25">
      <c r="A141" s="29">
        <v>134</v>
      </c>
      <c r="B141" s="29" t="s">
        <v>207</v>
      </c>
      <c r="C141" s="29" t="s">
        <v>2063</v>
      </c>
      <c r="D141" s="29" t="s">
        <v>1712</v>
      </c>
      <c r="E141" s="29" t="s">
        <v>1712</v>
      </c>
      <c r="F141" s="29"/>
      <c r="G141" s="29"/>
      <c r="H141" s="29"/>
      <c r="I141" s="29"/>
      <c r="J141" s="13" t="s">
        <v>3020</v>
      </c>
      <c r="K141" s="13" t="s">
        <v>1325</v>
      </c>
      <c r="L141" s="13" t="s">
        <v>2357</v>
      </c>
      <c r="M141" s="15" t="s">
        <v>3701</v>
      </c>
      <c r="N141" s="13" t="s">
        <v>1761</v>
      </c>
      <c r="O141" s="13" t="s">
        <v>1326</v>
      </c>
      <c r="P141" s="29"/>
      <c r="Q141" s="29"/>
      <c r="R141" s="29"/>
      <c r="S141" s="29" t="s">
        <v>1036</v>
      </c>
      <c r="T141" s="29" t="s">
        <v>361</v>
      </c>
      <c r="U141" s="29" t="s">
        <v>2753</v>
      </c>
      <c r="V141" s="29" t="s">
        <v>535</v>
      </c>
      <c r="W141" s="29" t="s">
        <v>395</v>
      </c>
    </row>
    <row r="142" spans="1:23" x14ac:dyDescent="0.25">
      <c r="A142" s="29">
        <v>135</v>
      </c>
      <c r="B142" s="29" t="s">
        <v>695</v>
      </c>
      <c r="C142" s="29" t="s">
        <v>2064</v>
      </c>
      <c r="D142" s="29" t="s">
        <v>3606</v>
      </c>
      <c r="E142" s="29" t="s">
        <v>1921</v>
      </c>
      <c r="F142" s="29"/>
      <c r="G142" s="29"/>
      <c r="H142" s="29"/>
      <c r="I142" s="29"/>
      <c r="J142" s="13" t="s">
        <v>3021</v>
      </c>
      <c r="K142" s="13" t="s">
        <v>1327</v>
      </c>
      <c r="L142" s="13" t="s">
        <v>2358</v>
      </c>
      <c r="M142" s="15" t="s">
        <v>3702</v>
      </c>
      <c r="N142" s="13" t="s">
        <v>1667</v>
      </c>
      <c r="O142" s="13" t="s">
        <v>1328</v>
      </c>
      <c r="P142" s="29" t="s">
        <v>696</v>
      </c>
      <c r="Q142" s="29" t="s">
        <v>2582</v>
      </c>
      <c r="R142" s="29"/>
      <c r="S142" s="29" t="s">
        <v>698</v>
      </c>
      <c r="T142" s="29" t="s">
        <v>258</v>
      </c>
      <c r="U142" s="29" t="s">
        <v>2754</v>
      </c>
      <c r="V142" s="29" t="s">
        <v>699</v>
      </c>
      <c r="W142" s="29" t="s">
        <v>697</v>
      </c>
    </row>
    <row r="143" spans="1:23" x14ac:dyDescent="0.25">
      <c r="A143" s="29">
        <v>136</v>
      </c>
      <c r="B143" s="29" t="s">
        <v>103</v>
      </c>
      <c r="C143" s="29" t="s">
        <v>2065</v>
      </c>
      <c r="D143" s="29" t="s">
        <v>3606</v>
      </c>
      <c r="E143" s="29" t="s">
        <v>1921</v>
      </c>
      <c r="F143" s="29"/>
      <c r="G143" s="29"/>
      <c r="H143" s="29"/>
      <c r="I143" s="29"/>
      <c r="J143" s="13" t="s">
        <v>3022</v>
      </c>
      <c r="K143" s="13" t="s">
        <v>1329</v>
      </c>
      <c r="L143" s="13" t="s">
        <v>2359</v>
      </c>
      <c r="M143" s="15" t="s">
        <v>3703</v>
      </c>
      <c r="N143" s="13" t="s">
        <v>1762</v>
      </c>
      <c r="O143" s="13" t="s">
        <v>1330</v>
      </c>
      <c r="P143" s="29" t="s">
        <v>868</v>
      </c>
      <c r="Q143" s="29" t="s">
        <v>2583</v>
      </c>
      <c r="R143" s="29"/>
      <c r="S143" s="29" t="s">
        <v>870</v>
      </c>
      <c r="T143" s="29" t="s">
        <v>296</v>
      </c>
      <c r="U143" s="29" t="s">
        <v>2755</v>
      </c>
      <c r="V143" s="29" t="s">
        <v>871</v>
      </c>
      <c r="W143" s="29" t="s">
        <v>869</v>
      </c>
    </row>
    <row r="144" spans="1:23" x14ac:dyDescent="0.25">
      <c r="A144" s="29">
        <v>137</v>
      </c>
      <c r="B144" s="29" t="s">
        <v>219</v>
      </c>
      <c r="C144" s="29" t="s">
        <v>2066</v>
      </c>
      <c r="D144" s="29" t="s">
        <v>3558</v>
      </c>
      <c r="E144" s="29" t="s">
        <v>1922</v>
      </c>
      <c r="F144" s="29" t="s">
        <v>3348</v>
      </c>
      <c r="G144" s="29" t="s">
        <v>3365</v>
      </c>
      <c r="H144" s="29" t="s">
        <v>3366</v>
      </c>
      <c r="I144" s="29" t="s">
        <v>3367</v>
      </c>
      <c r="J144" s="13" t="s">
        <v>3023</v>
      </c>
      <c r="K144" s="13" t="s">
        <v>1331</v>
      </c>
      <c r="L144" s="13" t="s">
        <v>2360</v>
      </c>
      <c r="M144" s="15" t="s">
        <v>3704</v>
      </c>
      <c r="N144" s="13" t="s">
        <v>1763</v>
      </c>
      <c r="O144" s="13" t="s">
        <v>1332</v>
      </c>
      <c r="P144" s="29" t="s">
        <v>3368</v>
      </c>
      <c r="Q144" s="29" t="s">
        <v>3369</v>
      </c>
      <c r="R144" s="29" t="s">
        <v>3370</v>
      </c>
      <c r="S144" s="29" t="s">
        <v>1050</v>
      </c>
      <c r="T144" s="29" t="s">
        <v>372</v>
      </c>
      <c r="U144" s="29" t="s">
        <v>2756</v>
      </c>
      <c r="V144" s="29" t="s">
        <v>625</v>
      </c>
      <c r="W144" s="29" t="s">
        <v>624</v>
      </c>
    </row>
    <row r="145" spans="1:23" x14ac:dyDescent="0.25">
      <c r="A145" s="29">
        <v>138</v>
      </c>
      <c r="B145" s="29" t="s">
        <v>60</v>
      </c>
      <c r="C145" s="29" t="s">
        <v>2067</v>
      </c>
      <c r="D145" s="29" t="s">
        <v>3558</v>
      </c>
      <c r="E145" s="29" t="s">
        <v>1922</v>
      </c>
      <c r="F145" s="29" t="s">
        <v>3371</v>
      </c>
      <c r="G145" s="29" t="s">
        <v>3372</v>
      </c>
      <c r="H145" s="29" t="s">
        <v>3373</v>
      </c>
      <c r="I145" s="29" t="s">
        <v>3374</v>
      </c>
      <c r="J145" s="13" t="s">
        <v>3024</v>
      </c>
      <c r="K145" s="13" t="s">
        <v>1333</v>
      </c>
      <c r="L145" s="13" t="s">
        <v>2361</v>
      </c>
      <c r="M145" s="15" t="s">
        <v>3704</v>
      </c>
      <c r="N145" s="13" t="s">
        <v>1764</v>
      </c>
      <c r="O145" s="13" t="s">
        <v>1334</v>
      </c>
      <c r="P145" s="29" t="s">
        <v>3375</v>
      </c>
      <c r="Q145" s="29" t="s">
        <v>3376</v>
      </c>
      <c r="R145" s="29" t="s">
        <v>3705</v>
      </c>
      <c r="S145" s="29" t="s">
        <v>3925</v>
      </c>
      <c r="T145" s="29" t="s">
        <v>4065</v>
      </c>
      <c r="U145" s="29" t="s">
        <v>3926</v>
      </c>
      <c r="V145" s="29" t="s">
        <v>555</v>
      </c>
      <c r="W145" s="29" t="s">
        <v>397</v>
      </c>
    </row>
    <row r="146" spans="1:23" x14ac:dyDescent="0.25">
      <c r="A146" s="29">
        <v>139</v>
      </c>
      <c r="B146" s="29" t="s">
        <v>201</v>
      </c>
      <c r="C146" s="29" t="s">
        <v>2068</v>
      </c>
      <c r="D146" s="29" t="s">
        <v>1712</v>
      </c>
      <c r="E146" s="29" t="s">
        <v>1712</v>
      </c>
      <c r="F146" s="29"/>
      <c r="G146" s="29"/>
      <c r="H146" s="29"/>
      <c r="I146" s="29"/>
      <c r="J146" s="13" t="s">
        <v>3025</v>
      </c>
      <c r="K146" s="13" t="s">
        <v>1335</v>
      </c>
      <c r="L146" s="13" t="s">
        <v>2362</v>
      </c>
      <c r="M146" s="15" t="s">
        <v>3706</v>
      </c>
      <c r="N146" s="13" t="s">
        <v>1667</v>
      </c>
      <c r="O146" s="13" t="s">
        <v>1336</v>
      </c>
      <c r="P146" s="29"/>
      <c r="Q146" s="29"/>
      <c r="R146" s="29"/>
      <c r="S146" s="29" t="s">
        <v>1026</v>
      </c>
      <c r="T146" s="29" t="s">
        <v>355</v>
      </c>
      <c r="U146" s="29" t="s">
        <v>2757</v>
      </c>
      <c r="V146" s="29" t="s">
        <v>941</v>
      </c>
      <c r="W146" s="29" t="s">
        <v>939</v>
      </c>
    </row>
    <row r="147" spans="1:23" x14ac:dyDescent="0.25">
      <c r="A147" s="29">
        <v>140</v>
      </c>
      <c r="B147" s="29" t="s">
        <v>127</v>
      </c>
      <c r="C147" s="29" t="s">
        <v>2069</v>
      </c>
      <c r="D147" s="29" t="s">
        <v>3707</v>
      </c>
      <c r="E147" s="29" t="s">
        <v>1924</v>
      </c>
      <c r="F147" s="29"/>
      <c r="G147" s="29"/>
      <c r="H147" s="29"/>
      <c r="I147" s="29"/>
      <c r="J147" s="13" t="s">
        <v>3026</v>
      </c>
      <c r="K147" s="13" t="s">
        <v>1337</v>
      </c>
      <c r="L147" s="13" t="s">
        <v>2363</v>
      </c>
      <c r="M147" s="15" t="s">
        <v>3708</v>
      </c>
      <c r="N147" s="13" t="s">
        <v>1667</v>
      </c>
      <c r="O147" s="13" t="s">
        <v>1338</v>
      </c>
      <c r="P147" s="29" t="s">
        <v>927</v>
      </c>
      <c r="Q147" s="29" t="s">
        <v>2584</v>
      </c>
      <c r="R147" s="29"/>
      <c r="S147" s="29" t="s">
        <v>928</v>
      </c>
      <c r="T147" s="29" t="s">
        <v>267</v>
      </c>
      <c r="U147" s="29" t="s">
        <v>2606</v>
      </c>
      <c r="V147" s="29" t="s">
        <v>421</v>
      </c>
      <c r="W147" s="29" t="s">
        <v>375</v>
      </c>
    </row>
    <row r="148" spans="1:23" x14ac:dyDescent="0.25">
      <c r="A148" s="29">
        <v>141</v>
      </c>
      <c r="B148" s="29" t="s">
        <v>700</v>
      </c>
      <c r="C148" s="29" t="s">
        <v>2070</v>
      </c>
      <c r="D148" s="29" t="s">
        <v>3566</v>
      </c>
      <c r="E148" s="29" t="s">
        <v>1921</v>
      </c>
      <c r="F148" s="29"/>
      <c r="G148" s="29"/>
      <c r="H148" s="29"/>
      <c r="I148" s="29"/>
      <c r="J148" s="13" t="s">
        <v>3027</v>
      </c>
      <c r="K148" s="13" t="s">
        <v>1339</v>
      </c>
      <c r="L148" s="13" t="s">
        <v>2364</v>
      </c>
      <c r="M148" s="15" t="s">
        <v>3709</v>
      </c>
      <c r="N148" s="13" t="s">
        <v>1765</v>
      </c>
      <c r="O148" s="13" t="s">
        <v>1340</v>
      </c>
      <c r="P148" s="29" t="s">
        <v>701</v>
      </c>
      <c r="Q148" s="29" t="s">
        <v>2585</v>
      </c>
      <c r="R148" s="29"/>
      <c r="S148" s="29" t="s">
        <v>702</v>
      </c>
      <c r="T148" s="29" t="s">
        <v>250</v>
      </c>
      <c r="U148" s="29" t="s">
        <v>2758</v>
      </c>
      <c r="V148" s="29" t="s">
        <v>637</v>
      </c>
      <c r="W148" s="29" t="s">
        <v>635</v>
      </c>
    </row>
    <row r="149" spans="1:23" x14ac:dyDescent="0.25">
      <c r="A149" s="29">
        <v>142</v>
      </c>
      <c r="B149" s="29" t="s">
        <v>67</v>
      </c>
      <c r="C149" s="29" t="s">
        <v>2071</v>
      </c>
      <c r="D149" s="29" t="s">
        <v>3596</v>
      </c>
      <c r="E149" s="29" t="s">
        <v>1922</v>
      </c>
      <c r="F149" s="29" t="s">
        <v>3377</v>
      </c>
      <c r="G149" s="29" t="s">
        <v>3378</v>
      </c>
      <c r="H149" s="29" t="s">
        <v>3379</v>
      </c>
      <c r="I149" s="29" t="s">
        <v>3380</v>
      </c>
      <c r="J149" s="13" t="s">
        <v>3028</v>
      </c>
      <c r="K149" s="13" t="s">
        <v>1341</v>
      </c>
      <c r="L149" s="13" t="s">
        <v>2365</v>
      </c>
      <c r="M149" s="15" t="s">
        <v>3710</v>
      </c>
      <c r="N149" s="13" t="s">
        <v>1766</v>
      </c>
      <c r="O149" s="13" t="s">
        <v>1342</v>
      </c>
      <c r="P149" s="29" t="s">
        <v>3381</v>
      </c>
      <c r="Q149" s="29" t="s">
        <v>3382</v>
      </c>
      <c r="R149" s="29" t="s">
        <v>3383</v>
      </c>
      <c r="S149" s="29" t="s">
        <v>3384</v>
      </c>
      <c r="T149" s="29" t="s">
        <v>271</v>
      </c>
      <c r="U149" s="29" t="s">
        <v>2759</v>
      </c>
      <c r="V149" s="29" t="s">
        <v>402</v>
      </c>
      <c r="W149" s="29" t="s">
        <v>374</v>
      </c>
    </row>
    <row r="150" spans="1:23" x14ac:dyDescent="0.25">
      <c r="A150" s="29">
        <v>143</v>
      </c>
      <c r="B150" s="29" t="s">
        <v>595</v>
      </c>
      <c r="C150" s="29" t="s">
        <v>2072</v>
      </c>
      <c r="D150" s="29" t="s">
        <v>1712</v>
      </c>
      <c r="E150" s="29" t="s">
        <v>1712</v>
      </c>
      <c r="F150" s="29"/>
      <c r="G150" s="29"/>
      <c r="H150" s="29"/>
      <c r="I150" s="29"/>
      <c r="J150" s="13" t="s">
        <v>3029</v>
      </c>
      <c r="K150" s="13" t="s">
        <v>1343</v>
      </c>
      <c r="L150" s="13" t="s">
        <v>2366</v>
      </c>
      <c r="M150" s="15" t="s">
        <v>3711</v>
      </c>
      <c r="N150" s="13" t="s">
        <v>1767</v>
      </c>
      <c r="O150" s="13" t="s">
        <v>1344</v>
      </c>
      <c r="P150" s="29" t="s">
        <v>596</v>
      </c>
      <c r="Q150" s="29" t="s">
        <v>2586</v>
      </c>
      <c r="R150" s="29"/>
      <c r="S150" s="29" t="s">
        <v>597</v>
      </c>
      <c r="T150" s="29" t="s">
        <v>246</v>
      </c>
      <c r="U150" s="29" t="s">
        <v>2760</v>
      </c>
      <c r="V150" s="29" t="s">
        <v>428</v>
      </c>
      <c r="W150" s="29" t="s">
        <v>378</v>
      </c>
    </row>
    <row r="151" spans="1:23" x14ac:dyDescent="0.25">
      <c r="A151" s="29">
        <v>144</v>
      </c>
      <c r="B151" s="29" t="s">
        <v>187</v>
      </c>
      <c r="C151" s="29" t="s">
        <v>2073</v>
      </c>
      <c r="D151" s="29" t="s">
        <v>1712</v>
      </c>
      <c r="E151" s="29" t="s">
        <v>1712</v>
      </c>
      <c r="F151" s="29"/>
      <c r="G151" s="29"/>
      <c r="H151" s="29"/>
      <c r="I151" s="29"/>
      <c r="J151" s="13" t="s">
        <v>1667</v>
      </c>
      <c r="K151" s="13" t="s">
        <v>1667</v>
      </c>
      <c r="L151" s="13" t="s">
        <v>1667</v>
      </c>
      <c r="N151" s="13" t="s">
        <v>1768</v>
      </c>
      <c r="O151" s="13" t="s">
        <v>1345</v>
      </c>
      <c r="P151" s="29"/>
      <c r="Q151" s="29"/>
      <c r="R151" s="29"/>
      <c r="S151" s="29" t="s">
        <v>1017</v>
      </c>
      <c r="T151" s="29" t="s">
        <v>4066</v>
      </c>
      <c r="U151" s="29" t="s">
        <v>4067</v>
      </c>
      <c r="V151" s="29" t="s">
        <v>1018</v>
      </c>
      <c r="W151" s="29" t="s">
        <v>885</v>
      </c>
    </row>
    <row r="152" spans="1:23" x14ac:dyDescent="0.25">
      <c r="A152" s="29">
        <v>145</v>
      </c>
      <c r="B152" s="29" t="s">
        <v>579</v>
      </c>
      <c r="C152" s="29" t="s">
        <v>2074</v>
      </c>
      <c r="D152" s="29" t="s">
        <v>3594</v>
      </c>
      <c r="E152" s="29" t="s">
        <v>1923</v>
      </c>
      <c r="F152" s="29"/>
      <c r="G152" s="29"/>
      <c r="H152" s="29"/>
      <c r="I152" s="29"/>
      <c r="J152" s="13" t="s">
        <v>3030</v>
      </c>
      <c r="K152" s="13" t="s">
        <v>1346</v>
      </c>
      <c r="L152" s="13" t="s">
        <v>2367</v>
      </c>
      <c r="M152" s="15" t="s">
        <v>3712</v>
      </c>
      <c r="N152" s="13" t="s">
        <v>1769</v>
      </c>
      <c r="O152" s="13" t="s">
        <v>1347</v>
      </c>
      <c r="P152" s="29"/>
      <c r="Q152" s="29"/>
      <c r="R152" s="29"/>
      <c r="S152" s="29" t="s">
        <v>580</v>
      </c>
      <c r="T152" s="29" t="s">
        <v>2665</v>
      </c>
      <c r="U152" s="29" t="s">
        <v>3248</v>
      </c>
      <c r="V152" s="29" t="s">
        <v>421</v>
      </c>
      <c r="W152" s="29" t="s">
        <v>375</v>
      </c>
    </row>
    <row r="153" spans="1:23" x14ac:dyDescent="0.25">
      <c r="A153" s="29">
        <v>146</v>
      </c>
      <c r="B153" s="29" t="s">
        <v>454</v>
      </c>
      <c r="C153" s="29" t="s">
        <v>2075</v>
      </c>
      <c r="D153" s="29" t="s">
        <v>3563</v>
      </c>
      <c r="E153" s="29" t="s">
        <v>1923</v>
      </c>
      <c r="F153" s="29"/>
      <c r="G153" s="29"/>
      <c r="H153" s="29"/>
      <c r="I153" s="29"/>
      <c r="J153" s="13" t="s">
        <v>1667</v>
      </c>
      <c r="K153" s="13" t="s">
        <v>1667</v>
      </c>
      <c r="L153" s="13" t="s">
        <v>1667</v>
      </c>
      <c r="N153" s="13" t="s">
        <v>1770</v>
      </c>
      <c r="O153" s="13" t="s">
        <v>1348</v>
      </c>
      <c r="P153" s="29" t="s">
        <v>455</v>
      </c>
      <c r="Q153" s="29" t="s">
        <v>2587</v>
      </c>
      <c r="R153" s="29"/>
      <c r="S153" s="29" t="s">
        <v>456</v>
      </c>
      <c r="T153" s="29" t="s">
        <v>4068</v>
      </c>
      <c r="U153" s="29" t="s">
        <v>4069</v>
      </c>
      <c r="V153" s="29" t="s">
        <v>442</v>
      </c>
      <c r="W153" s="29" t="s">
        <v>382</v>
      </c>
    </row>
    <row r="154" spans="1:23" x14ac:dyDescent="0.25">
      <c r="A154" s="29">
        <v>147</v>
      </c>
      <c r="B154" s="29" t="s">
        <v>204</v>
      </c>
      <c r="C154" s="29" t="s">
        <v>2076</v>
      </c>
      <c r="D154" s="29" t="s">
        <v>1712</v>
      </c>
      <c r="E154" s="29" t="s">
        <v>1712</v>
      </c>
      <c r="F154" s="29"/>
      <c r="G154" s="29"/>
      <c r="H154" s="29"/>
      <c r="I154" s="29"/>
      <c r="J154" s="13" t="s">
        <v>3031</v>
      </c>
      <c r="K154" s="13" t="s">
        <v>1349</v>
      </c>
      <c r="L154" s="13" t="s">
        <v>2368</v>
      </c>
      <c r="M154" s="15" t="s">
        <v>3713</v>
      </c>
      <c r="N154" s="13" t="s">
        <v>1771</v>
      </c>
      <c r="O154" s="13" t="s">
        <v>1350</v>
      </c>
      <c r="P154" s="29"/>
      <c r="Q154" s="29"/>
      <c r="R154" s="29"/>
      <c r="S154" s="29" t="s">
        <v>1032</v>
      </c>
      <c r="T154" s="29" t="s">
        <v>358</v>
      </c>
      <c r="U154" s="29" t="s">
        <v>2761</v>
      </c>
      <c r="V154" s="29" t="s">
        <v>781</v>
      </c>
      <c r="W154" s="29" t="s">
        <v>779</v>
      </c>
    </row>
    <row r="155" spans="1:23" x14ac:dyDescent="0.25">
      <c r="A155" s="29">
        <v>148</v>
      </c>
      <c r="B155" s="29" t="s">
        <v>44</v>
      </c>
      <c r="C155" s="29" t="s">
        <v>2077</v>
      </c>
      <c r="D155" s="29" t="s">
        <v>3600</v>
      </c>
      <c r="E155" s="29" t="s">
        <v>1922</v>
      </c>
      <c r="F155" s="29"/>
      <c r="G155" s="29"/>
      <c r="H155" s="29"/>
      <c r="I155" s="29"/>
      <c r="J155" s="13" t="s">
        <v>3032</v>
      </c>
      <c r="K155" s="13" t="s">
        <v>1351</v>
      </c>
      <c r="L155" s="13" t="s">
        <v>2369</v>
      </c>
      <c r="M155" s="15" t="s">
        <v>3714</v>
      </c>
      <c r="N155" s="13" t="s">
        <v>1772</v>
      </c>
      <c r="O155" s="13" t="s">
        <v>1352</v>
      </c>
      <c r="P155" s="29" t="s">
        <v>743</v>
      </c>
      <c r="Q155" s="29" t="s">
        <v>2588</v>
      </c>
      <c r="R155" s="29"/>
      <c r="S155" s="29" t="s">
        <v>745</v>
      </c>
      <c r="T155" s="29" t="s">
        <v>261</v>
      </c>
      <c r="U155" s="29" t="s">
        <v>2762</v>
      </c>
      <c r="V155" s="29" t="s">
        <v>746</v>
      </c>
      <c r="W155" s="29" t="s">
        <v>744</v>
      </c>
    </row>
    <row r="156" spans="1:23" x14ac:dyDescent="0.25">
      <c r="A156" s="29">
        <v>149</v>
      </c>
      <c r="B156" s="29" t="s">
        <v>452</v>
      </c>
      <c r="C156" s="29" t="s">
        <v>2078</v>
      </c>
      <c r="D156" s="29" t="s">
        <v>3558</v>
      </c>
      <c r="E156" s="29" t="s">
        <v>1922</v>
      </c>
      <c r="F156" s="29"/>
      <c r="G156" s="29"/>
      <c r="H156" s="29"/>
      <c r="I156" s="29"/>
      <c r="J156" s="13" t="s">
        <v>3033</v>
      </c>
      <c r="K156" s="13" t="s">
        <v>1353</v>
      </c>
      <c r="L156" s="13" t="s">
        <v>2370</v>
      </c>
      <c r="M156" s="15" t="s">
        <v>3715</v>
      </c>
      <c r="N156" s="13" t="s">
        <v>1773</v>
      </c>
      <c r="O156" s="13" t="s">
        <v>1354</v>
      </c>
      <c r="P156" s="29"/>
      <c r="Q156" s="29"/>
      <c r="R156" s="29"/>
      <c r="S156" s="29" t="s">
        <v>453</v>
      </c>
      <c r="T156" s="29" t="s">
        <v>4042</v>
      </c>
      <c r="U156" s="29" t="s">
        <v>4043</v>
      </c>
      <c r="V156" s="29" t="s">
        <v>421</v>
      </c>
      <c r="W156" s="29" t="s">
        <v>375</v>
      </c>
    </row>
    <row r="157" spans="1:23" x14ac:dyDescent="0.25">
      <c r="A157" s="29">
        <v>150</v>
      </c>
      <c r="B157" s="29" t="s">
        <v>175</v>
      </c>
      <c r="C157" s="29" t="s">
        <v>2079</v>
      </c>
      <c r="D157" s="29" t="s">
        <v>1712</v>
      </c>
      <c r="E157" s="29" t="s">
        <v>1712</v>
      </c>
      <c r="F157" s="29"/>
      <c r="G157" s="29"/>
      <c r="H157" s="29"/>
      <c r="I157" s="29"/>
      <c r="J157" s="13" t="s">
        <v>3034</v>
      </c>
      <c r="K157" s="13" t="s">
        <v>1355</v>
      </c>
      <c r="L157" s="13" t="s">
        <v>2371</v>
      </c>
      <c r="M157" s="15" t="s">
        <v>3716</v>
      </c>
      <c r="N157" s="13" t="s">
        <v>1774</v>
      </c>
      <c r="O157" s="13" t="s">
        <v>1356</v>
      </c>
      <c r="P157" s="29"/>
      <c r="Q157" s="29"/>
      <c r="R157" s="29"/>
      <c r="S157" s="29" t="s">
        <v>492</v>
      </c>
      <c r="T157" s="29" t="s">
        <v>308</v>
      </c>
      <c r="U157" s="29" t="s">
        <v>2723</v>
      </c>
      <c r="V157" s="29" t="s">
        <v>466</v>
      </c>
      <c r="W157" s="29" t="s">
        <v>385</v>
      </c>
    </row>
    <row r="158" spans="1:23" x14ac:dyDescent="0.25">
      <c r="A158" s="29">
        <v>151</v>
      </c>
      <c r="B158" s="29" t="s">
        <v>59</v>
      </c>
      <c r="C158" s="29" t="s">
        <v>2080</v>
      </c>
      <c r="D158" s="29" t="s">
        <v>3610</v>
      </c>
      <c r="E158" s="29" t="s">
        <v>1921</v>
      </c>
      <c r="F158" s="29"/>
      <c r="G158" s="29"/>
      <c r="H158" s="29"/>
      <c r="I158" s="29"/>
      <c r="J158" s="13" t="s">
        <v>3035</v>
      </c>
      <c r="K158" s="13" t="s">
        <v>1357</v>
      </c>
      <c r="L158" s="13" t="s">
        <v>2372</v>
      </c>
      <c r="M158" s="15" t="s">
        <v>3717</v>
      </c>
      <c r="N158" s="13" t="s">
        <v>1775</v>
      </c>
      <c r="O158" s="13" t="s">
        <v>1358</v>
      </c>
      <c r="P158" s="29" t="s">
        <v>774</v>
      </c>
      <c r="Q158" s="29" t="s">
        <v>2589</v>
      </c>
      <c r="R158" s="29"/>
      <c r="S158" s="29" t="s">
        <v>775</v>
      </c>
      <c r="T158" s="29" t="s">
        <v>269</v>
      </c>
      <c r="U158" s="29" t="s">
        <v>2763</v>
      </c>
      <c r="V158" s="29" t="s">
        <v>428</v>
      </c>
      <c r="W158" s="29" t="s">
        <v>378</v>
      </c>
    </row>
    <row r="159" spans="1:23" x14ac:dyDescent="0.25">
      <c r="A159" s="29">
        <v>314</v>
      </c>
      <c r="B159" s="29" t="s">
        <v>4222</v>
      </c>
      <c r="C159" s="29" t="s">
        <v>4223</v>
      </c>
      <c r="D159" s="29" t="s">
        <v>3556</v>
      </c>
      <c r="E159" s="29" t="s">
        <v>1921</v>
      </c>
      <c r="F159" s="29" t="s">
        <v>4224</v>
      </c>
      <c r="G159" s="29" t="s">
        <v>4207</v>
      </c>
      <c r="H159" s="29" t="s">
        <v>4190</v>
      </c>
      <c r="I159" s="29" t="s">
        <v>4225</v>
      </c>
      <c r="J159" s="13" t="s">
        <v>4226</v>
      </c>
      <c r="K159" s="13" t="s">
        <v>4227</v>
      </c>
      <c r="L159" s="13" t="s">
        <v>4228</v>
      </c>
      <c r="M159" s="15" t="s">
        <v>4281</v>
      </c>
      <c r="N159" s="13" t="s">
        <v>4229</v>
      </c>
      <c r="O159" s="13" t="s">
        <v>4230</v>
      </c>
      <c r="P159" s="29" t="s">
        <v>4231</v>
      </c>
      <c r="Q159" s="29" t="s">
        <v>4232</v>
      </c>
      <c r="R159" s="29" t="s">
        <v>4233</v>
      </c>
      <c r="S159" s="29" t="s">
        <v>4234</v>
      </c>
      <c r="T159" s="29" t="s">
        <v>4235</v>
      </c>
      <c r="U159" s="29" t="s">
        <v>4219</v>
      </c>
      <c r="V159" s="29" t="s">
        <v>4220</v>
      </c>
      <c r="W159" s="29" t="s">
        <v>4221</v>
      </c>
    </row>
    <row r="160" spans="1:23" x14ac:dyDescent="0.25">
      <c r="A160" s="29">
        <v>152</v>
      </c>
      <c r="B160" s="29" t="s">
        <v>189</v>
      </c>
      <c r="C160" s="29" t="s">
        <v>2081</v>
      </c>
      <c r="D160" s="29" t="s">
        <v>1712</v>
      </c>
      <c r="E160" s="29" t="s">
        <v>1712</v>
      </c>
      <c r="F160" s="29"/>
      <c r="G160" s="29"/>
      <c r="H160" s="29"/>
      <c r="I160" s="29"/>
      <c r="J160" s="13" t="s">
        <v>3036</v>
      </c>
      <c r="K160" s="13" t="s">
        <v>1359</v>
      </c>
      <c r="L160" s="13" t="s">
        <v>2373</v>
      </c>
      <c r="M160" s="15" t="s">
        <v>3718</v>
      </c>
      <c r="N160" s="13" t="s">
        <v>1667</v>
      </c>
      <c r="O160" s="13" t="s">
        <v>1360</v>
      </c>
      <c r="P160" s="29"/>
      <c r="Q160" s="29"/>
      <c r="R160" s="29"/>
      <c r="S160" s="29" t="s">
        <v>1020</v>
      </c>
      <c r="T160" s="29" t="s">
        <v>351</v>
      </c>
      <c r="U160" s="29" t="s">
        <v>2764</v>
      </c>
      <c r="V160" s="29" t="s">
        <v>781</v>
      </c>
      <c r="W160" s="29" t="s">
        <v>779</v>
      </c>
    </row>
    <row r="161" spans="1:23" x14ac:dyDescent="0.25">
      <c r="A161" s="29">
        <v>153</v>
      </c>
      <c r="B161" s="29" t="s">
        <v>96</v>
      </c>
      <c r="C161" s="29" t="s">
        <v>2082</v>
      </c>
      <c r="D161" s="29" t="s">
        <v>1712</v>
      </c>
      <c r="E161" s="29" t="s">
        <v>1712</v>
      </c>
      <c r="F161" s="29"/>
      <c r="G161" s="29"/>
      <c r="H161" s="29"/>
      <c r="I161" s="29"/>
      <c r="J161" s="13" t="s">
        <v>3037</v>
      </c>
      <c r="K161" s="13" t="s">
        <v>1361</v>
      </c>
      <c r="L161" s="13" t="s">
        <v>2374</v>
      </c>
      <c r="M161" s="15" t="s">
        <v>3719</v>
      </c>
      <c r="N161" s="13" t="s">
        <v>1776</v>
      </c>
      <c r="O161" s="13" t="s">
        <v>1362</v>
      </c>
      <c r="P161" s="29" t="s">
        <v>856</v>
      </c>
      <c r="Q161" s="29" t="s">
        <v>2590</v>
      </c>
      <c r="R161" s="29"/>
      <c r="S161" s="29" t="s">
        <v>857</v>
      </c>
      <c r="T161" s="29" t="s">
        <v>291</v>
      </c>
      <c r="U161" s="29" t="s">
        <v>2709</v>
      </c>
      <c r="V161" s="29" t="s">
        <v>418</v>
      </c>
      <c r="W161" s="29" t="s">
        <v>377</v>
      </c>
    </row>
    <row r="162" spans="1:23" x14ac:dyDescent="0.25">
      <c r="A162" s="29">
        <v>154</v>
      </c>
      <c r="B162" s="29" t="s">
        <v>166</v>
      </c>
      <c r="C162" s="29" t="s">
        <v>2083</v>
      </c>
      <c r="D162" s="29" t="s">
        <v>3576</v>
      </c>
      <c r="E162" s="29" t="s">
        <v>1921</v>
      </c>
      <c r="F162" s="29"/>
      <c r="G162" s="29"/>
      <c r="H162" s="29"/>
      <c r="I162" s="29"/>
      <c r="J162" s="13" t="s">
        <v>3038</v>
      </c>
      <c r="K162" s="13" t="s">
        <v>1363</v>
      </c>
      <c r="L162" s="13" t="s">
        <v>2375</v>
      </c>
      <c r="M162" s="15" t="s">
        <v>3720</v>
      </c>
      <c r="N162" s="13" t="s">
        <v>1777</v>
      </c>
      <c r="O162" s="13" t="s">
        <v>1364</v>
      </c>
      <c r="P162" s="29"/>
      <c r="Q162" s="29"/>
      <c r="R162" s="29"/>
      <c r="S162" s="29" t="s">
        <v>985</v>
      </c>
      <c r="T162" s="29" t="s">
        <v>339</v>
      </c>
      <c r="U162" s="29" t="s">
        <v>2765</v>
      </c>
      <c r="V162" s="29" t="s">
        <v>804</v>
      </c>
      <c r="W162" s="29" t="s">
        <v>802</v>
      </c>
    </row>
    <row r="163" spans="1:23" x14ac:dyDescent="0.25">
      <c r="A163" s="29">
        <v>155</v>
      </c>
      <c r="B163" s="29" t="s">
        <v>164</v>
      </c>
      <c r="C163" s="29" t="s">
        <v>2084</v>
      </c>
      <c r="D163" s="29" t="s">
        <v>1712</v>
      </c>
      <c r="E163" s="29" t="s">
        <v>1712</v>
      </c>
      <c r="F163" s="29"/>
      <c r="G163" s="29"/>
      <c r="H163" s="29"/>
      <c r="I163" s="29"/>
      <c r="J163" s="13" t="s">
        <v>3039</v>
      </c>
      <c r="K163" s="13" t="s">
        <v>1365</v>
      </c>
      <c r="L163" s="13" t="s">
        <v>2376</v>
      </c>
      <c r="M163" s="15" t="s">
        <v>3721</v>
      </c>
      <c r="N163" s="13" t="s">
        <v>1778</v>
      </c>
      <c r="O163" s="13" t="s">
        <v>1366</v>
      </c>
      <c r="P163" s="29"/>
      <c r="Q163" s="29"/>
      <c r="R163" s="29"/>
      <c r="S163" s="29" t="s">
        <v>983</v>
      </c>
      <c r="T163" s="29" t="s">
        <v>337</v>
      </c>
      <c r="U163" s="29" t="s">
        <v>2705</v>
      </c>
      <c r="V163" s="29" t="s">
        <v>421</v>
      </c>
      <c r="W163" s="29" t="s">
        <v>375</v>
      </c>
    </row>
    <row r="164" spans="1:23" x14ac:dyDescent="0.25">
      <c r="A164" s="29">
        <v>156</v>
      </c>
      <c r="B164" s="29" t="s">
        <v>613</v>
      </c>
      <c r="C164" s="29" t="s">
        <v>2085</v>
      </c>
      <c r="D164" s="29" t="s">
        <v>1712</v>
      </c>
      <c r="E164" s="29" t="s">
        <v>1712</v>
      </c>
      <c r="F164" s="29"/>
      <c r="G164" s="29"/>
      <c r="H164" s="29"/>
      <c r="I164" s="29"/>
      <c r="J164" s="13" t="s">
        <v>3040</v>
      </c>
      <c r="K164" s="13" t="s">
        <v>1367</v>
      </c>
      <c r="L164" s="13" t="s">
        <v>2377</v>
      </c>
      <c r="M164" s="15" t="s">
        <v>3722</v>
      </c>
      <c r="N164" s="13" t="s">
        <v>1779</v>
      </c>
      <c r="O164" s="13" t="s">
        <v>1368</v>
      </c>
      <c r="P164" s="29" t="s">
        <v>614</v>
      </c>
      <c r="Q164" s="29" t="s">
        <v>2591</v>
      </c>
      <c r="R164" s="29"/>
      <c r="S164" s="29" t="s">
        <v>615</v>
      </c>
      <c r="T164" s="29" t="s">
        <v>2670</v>
      </c>
      <c r="U164" s="29" t="s">
        <v>2766</v>
      </c>
      <c r="V164" s="29" t="s">
        <v>555</v>
      </c>
      <c r="W164" s="29" t="s">
        <v>397</v>
      </c>
    </row>
    <row r="165" spans="1:23" x14ac:dyDescent="0.25">
      <c r="A165" s="29">
        <v>157</v>
      </c>
      <c r="B165" s="29" t="s">
        <v>58</v>
      </c>
      <c r="C165" s="29" t="s">
        <v>2086</v>
      </c>
      <c r="D165" s="29" t="s">
        <v>1712</v>
      </c>
      <c r="E165" s="29" t="s">
        <v>1712</v>
      </c>
      <c r="F165" s="29"/>
      <c r="G165" s="29"/>
      <c r="H165" s="29"/>
      <c r="I165" s="29"/>
      <c r="J165" s="13" t="s">
        <v>3041</v>
      </c>
      <c r="K165" s="13" t="s">
        <v>1369</v>
      </c>
      <c r="L165" s="13" t="s">
        <v>2378</v>
      </c>
      <c r="M165" s="15" t="s">
        <v>3723</v>
      </c>
      <c r="N165" s="13" t="s">
        <v>1780</v>
      </c>
      <c r="O165" s="13" t="s">
        <v>1370</v>
      </c>
      <c r="P165" s="29" t="s">
        <v>772</v>
      </c>
      <c r="Q165" s="29" t="s">
        <v>2592</v>
      </c>
      <c r="R165" s="29"/>
      <c r="S165" s="29" t="s">
        <v>773</v>
      </c>
      <c r="T165" s="29" t="s">
        <v>268</v>
      </c>
      <c r="U165" s="29" t="s">
        <v>2767</v>
      </c>
      <c r="V165" s="29" t="s">
        <v>418</v>
      </c>
      <c r="W165" s="29" t="s">
        <v>377</v>
      </c>
    </row>
    <row r="166" spans="1:23" x14ac:dyDescent="0.25">
      <c r="A166" s="29">
        <v>158</v>
      </c>
      <c r="B166" s="29" t="s">
        <v>150</v>
      </c>
      <c r="C166" s="29" t="s">
        <v>2087</v>
      </c>
      <c r="D166" s="29" t="s">
        <v>1712</v>
      </c>
      <c r="E166" s="29" t="s">
        <v>1712</v>
      </c>
      <c r="F166" s="29"/>
      <c r="G166" s="29"/>
      <c r="H166" s="29"/>
      <c r="I166" s="29"/>
      <c r="J166" s="13" t="s">
        <v>3042</v>
      </c>
      <c r="K166" s="13" t="s">
        <v>1371</v>
      </c>
      <c r="L166" s="13" t="s">
        <v>2379</v>
      </c>
      <c r="M166" s="15" t="s">
        <v>3724</v>
      </c>
      <c r="N166" s="13" t="s">
        <v>1781</v>
      </c>
      <c r="O166" s="13" t="s">
        <v>1372</v>
      </c>
      <c r="P166" s="29"/>
      <c r="Q166" s="29"/>
      <c r="R166" s="29"/>
      <c r="S166" s="29" t="s">
        <v>971</v>
      </c>
      <c r="T166" s="29" t="s">
        <v>332</v>
      </c>
      <c r="U166" s="29" t="s">
        <v>2768</v>
      </c>
      <c r="V166" s="29" t="s">
        <v>781</v>
      </c>
      <c r="W166" s="29" t="s">
        <v>779</v>
      </c>
    </row>
    <row r="167" spans="1:23" x14ac:dyDescent="0.25">
      <c r="A167" s="29">
        <v>159</v>
      </c>
      <c r="B167" s="29" t="s">
        <v>87</v>
      </c>
      <c r="C167" s="29" t="s">
        <v>2088</v>
      </c>
      <c r="D167" s="29" t="s">
        <v>1712</v>
      </c>
      <c r="E167" s="29" t="s">
        <v>1712</v>
      </c>
      <c r="F167" s="29"/>
      <c r="G167" s="29"/>
      <c r="H167" s="29"/>
      <c r="I167" s="29"/>
      <c r="J167" s="13" t="s">
        <v>3043</v>
      </c>
      <c r="K167" s="13" t="s">
        <v>1373</v>
      </c>
      <c r="L167" s="13" t="s">
        <v>2380</v>
      </c>
      <c r="M167" s="15" t="s">
        <v>3725</v>
      </c>
      <c r="N167" s="13" t="s">
        <v>1782</v>
      </c>
      <c r="O167" s="13" t="s">
        <v>1374</v>
      </c>
      <c r="P167" s="29" t="s">
        <v>833</v>
      </c>
      <c r="Q167" s="29" t="s">
        <v>2593</v>
      </c>
      <c r="R167" s="29"/>
      <c r="S167" s="29" t="s">
        <v>835</v>
      </c>
      <c r="T167" s="29" t="s">
        <v>4070</v>
      </c>
      <c r="U167" s="29" t="s">
        <v>4071</v>
      </c>
      <c r="V167" s="29" t="s">
        <v>836</v>
      </c>
      <c r="W167" s="29" t="s">
        <v>834</v>
      </c>
    </row>
    <row r="168" spans="1:23" x14ac:dyDescent="0.25">
      <c r="A168" s="29">
        <v>160</v>
      </c>
      <c r="B168" s="29" t="s">
        <v>190</v>
      </c>
      <c r="C168" s="29" t="s">
        <v>2089</v>
      </c>
      <c r="D168" s="29" t="s">
        <v>1712</v>
      </c>
      <c r="E168" s="29" t="s">
        <v>1712</v>
      </c>
      <c r="F168" s="29"/>
      <c r="G168" s="29"/>
      <c r="H168" s="29"/>
      <c r="I168" s="29"/>
      <c r="J168" s="13" t="s">
        <v>3044</v>
      </c>
      <c r="K168" s="13" t="s">
        <v>1375</v>
      </c>
      <c r="L168" s="13" t="s">
        <v>2381</v>
      </c>
      <c r="M168" s="15" t="s">
        <v>3726</v>
      </c>
      <c r="N168" s="13" t="s">
        <v>1783</v>
      </c>
      <c r="O168" s="13" t="s">
        <v>1376</v>
      </c>
      <c r="P168" s="29"/>
      <c r="Q168" s="29"/>
      <c r="R168" s="29"/>
      <c r="S168" s="29" t="s">
        <v>1021</v>
      </c>
      <c r="T168" s="29" t="s">
        <v>4072</v>
      </c>
      <c r="U168" s="29" t="s">
        <v>4073</v>
      </c>
      <c r="V168" s="29" t="s">
        <v>442</v>
      </c>
      <c r="W168" s="29" t="s">
        <v>382</v>
      </c>
    </row>
    <row r="169" spans="1:23" x14ac:dyDescent="0.25">
      <c r="A169" s="29">
        <v>161</v>
      </c>
      <c r="B169" s="29" t="s">
        <v>85</v>
      </c>
      <c r="C169" s="29" t="s">
        <v>2090</v>
      </c>
      <c r="D169" s="29" t="s">
        <v>1712</v>
      </c>
      <c r="E169" s="29" t="s">
        <v>1712</v>
      </c>
      <c r="F169" s="29"/>
      <c r="G169" s="29"/>
      <c r="H169" s="29"/>
      <c r="I169" s="29"/>
      <c r="J169" s="13" t="s">
        <v>3045</v>
      </c>
      <c r="K169" s="13" t="s">
        <v>1377</v>
      </c>
      <c r="L169" s="13" t="s">
        <v>2382</v>
      </c>
      <c r="M169" s="15" t="s">
        <v>3727</v>
      </c>
      <c r="N169" s="13" t="s">
        <v>1784</v>
      </c>
      <c r="O169" s="13" t="s">
        <v>1378</v>
      </c>
      <c r="P169" s="29" t="s">
        <v>829</v>
      </c>
      <c r="Q169" s="29" t="s">
        <v>2594</v>
      </c>
      <c r="R169" s="29"/>
      <c r="S169" s="29" t="s">
        <v>830</v>
      </c>
      <c r="T169" s="29" t="s">
        <v>284</v>
      </c>
      <c r="U169" s="29" t="s">
        <v>2769</v>
      </c>
      <c r="V169" s="29" t="s">
        <v>438</v>
      </c>
      <c r="W169" s="29" t="s">
        <v>381</v>
      </c>
    </row>
    <row r="170" spans="1:23" x14ac:dyDescent="0.25">
      <c r="A170" s="29">
        <v>162</v>
      </c>
      <c r="B170" s="29" t="s">
        <v>98</v>
      </c>
      <c r="C170" s="29" t="s">
        <v>2091</v>
      </c>
      <c r="D170" s="29" t="s">
        <v>3728</v>
      </c>
      <c r="E170" s="29" t="s">
        <v>1924</v>
      </c>
      <c r="F170" s="29"/>
      <c r="G170" s="29"/>
      <c r="H170" s="29"/>
      <c r="I170" s="29"/>
      <c r="J170" s="13" t="s">
        <v>3046</v>
      </c>
      <c r="K170" s="13" t="s">
        <v>1379</v>
      </c>
      <c r="L170" s="13" t="s">
        <v>2383</v>
      </c>
      <c r="M170" s="15" t="s">
        <v>3729</v>
      </c>
      <c r="N170" s="13" t="s">
        <v>1785</v>
      </c>
      <c r="O170" s="13" t="s">
        <v>1380</v>
      </c>
      <c r="P170" s="29" t="s">
        <v>860</v>
      </c>
      <c r="Q170" s="29" t="s">
        <v>2595</v>
      </c>
      <c r="R170" s="29"/>
      <c r="S170" s="29" t="s">
        <v>862</v>
      </c>
      <c r="T170" s="29" t="s">
        <v>293</v>
      </c>
      <c r="U170" s="29" t="s">
        <v>2770</v>
      </c>
      <c r="V170" s="29" t="s">
        <v>863</v>
      </c>
      <c r="W170" s="29" t="s">
        <v>861</v>
      </c>
    </row>
    <row r="171" spans="1:23" x14ac:dyDescent="0.25">
      <c r="A171" s="29">
        <v>163</v>
      </c>
      <c r="B171" s="29" t="s">
        <v>1064</v>
      </c>
      <c r="C171" s="29" t="s">
        <v>2092</v>
      </c>
      <c r="D171" s="29" t="s">
        <v>1712</v>
      </c>
      <c r="E171" s="29" t="s">
        <v>1712</v>
      </c>
      <c r="F171" s="29"/>
      <c r="G171" s="29"/>
      <c r="H171" s="29"/>
      <c r="I171" s="29"/>
      <c r="J171" s="13" t="s">
        <v>3047</v>
      </c>
      <c r="K171" s="13" t="s">
        <v>1381</v>
      </c>
      <c r="L171" s="13" t="s">
        <v>2384</v>
      </c>
      <c r="M171" s="15" t="s">
        <v>3691</v>
      </c>
      <c r="N171" s="13" t="s">
        <v>1786</v>
      </c>
      <c r="O171" s="13" t="s">
        <v>1382</v>
      </c>
      <c r="P171" s="29"/>
      <c r="Q171" s="29"/>
      <c r="R171" s="29"/>
      <c r="S171" s="29" t="s">
        <v>966</v>
      </c>
      <c r="T171" s="29" t="s">
        <v>327</v>
      </c>
      <c r="U171" s="29" t="s">
        <v>2771</v>
      </c>
      <c r="V171" s="29" t="s">
        <v>781</v>
      </c>
      <c r="W171" s="29" t="s">
        <v>779</v>
      </c>
    </row>
    <row r="172" spans="1:23" x14ac:dyDescent="0.25">
      <c r="A172" s="29">
        <v>164</v>
      </c>
      <c r="B172" s="29" t="s">
        <v>550</v>
      </c>
      <c r="C172" s="29" t="s">
        <v>2093</v>
      </c>
      <c r="D172" s="29" t="s">
        <v>1712</v>
      </c>
      <c r="E172" s="29" t="s">
        <v>1712</v>
      </c>
      <c r="F172" s="29"/>
      <c r="G172" s="29"/>
      <c r="H172" s="29"/>
      <c r="I172" s="29"/>
      <c r="J172" s="13" t="s">
        <v>3048</v>
      </c>
      <c r="K172" s="13" t="s">
        <v>1383</v>
      </c>
      <c r="L172" s="13" t="s">
        <v>2385</v>
      </c>
      <c r="M172" s="15" t="s">
        <v>3730</v>
      </c>
      <c r="N172" s="13" t="s">
        <v>1787</v>
      </c>
      <c r="O172" s="13" t="s">
        <v>1384</v>
      </c>
      <c r="P172" s="29"/>
      <c r="Q172" s="29"/>
      <c r="R172" s="29"/>
      <c r="S172" s="29" t="s">
        <v>551</v>
      </c>
      <c r="T172" s="29" t="s">
        <v>4074</v>
      </c>
      <c r="U172" s="29" t="s">
        <v>4075</v>
      </c>
      <c r="V172" s="29" t="s">
        <v>428</v>
      </c>
      <c r="W172" s="29" t="s">
        <v>378</v>
      </c>
    </row>
    <row r="173" spans="1:23" x14ac:dyDescent="0.25">
      <c r="A173" s="29">
        <v>165</v>
      </c>
      <c r="B173" s="29" t="s">
        <v>422</v>
      </c>
      <c r="C173" s="29" t="s">
        <v>2094</v>
      </c>
      <c r="D173" s="29" t="s">
        <v>3606</v>
      </c>
      <c r="E173" s="29" t="s">
        <v>1921</v>
      </c>
      <c r="F173" s="29"/>
      <c r="G173" s="29"/>
      <c r="H173" s="29"/>
      <c r="I173" s="29"/>
      <c r="J173" s="13" t="s">
        <v>3049</v>
      </c>
      <c r="K173" s="13" t="s">
        <v>1385</v>
      </c>
      <c r="L173" s="13" t="s">
        <v>2386</v>
      </c>
      <c r="M173" s="15" t="s">
        <v>3731</v>
      </c>
      <c r="N173" s="13" t="s">
        <v>1788</v>
      </c>
      <c r="O173" s="13" t="s">
        <v>1386</v>
      </c>
      <c r="P173" s="29" t="s">
        <v>423</v>
      </c>
      <c r="Q173" s="29" t="s">
        <v>2596</v>
      </c>
      <c r="R173" s="29"/>
      <c r="S173" s="29" t="s">
        <v>424</v>
      </c>
      <c r="T173" s="29" t="s">
        <v>225</v>
      </c>
      <c r="U173" s="29" t="s">
        <v>2772</v>
      </c>
      <c r="V173" s="29" t="s">
        <v>421</v>
      </c>
      <c r="W173" s="29" t="s">
        <v>375</v>
      </c>
    </row>
    <row r="174" spans="1:23" x14ac:dyDescent="0.25">
      <c r="A174" s="29">
        <v>166</v>
      </c>
      <c r="B174" s="29" t="s">
        <v>517</v>
      </c>
      <c r="C174" s="29" t="s">
        <v>2095</v>
      </c>
      <c r="D174" s="29" t="s">
        <v>1712</v>
      </c>
      <c r="E174" s="29" t="s">
        <v>1712</v>
      </c>
      <c r="F174" s="29"/>
      <c r="G174" s="29"/>
      <c r="H174" s="29"/>
      <c r="I174" s="29"/>
      <c r="J174" s="13" t="s">
        <v>3050</v>
      </c>
      <c r="K174" s="13" t="s">
        <v>1387</v>
      </c>
      <c r="L174" s="13" t="s">
        <v>2387</v>
      </c>
      <c r="M174" s="15" t="s">
        <v>3732</v>
      </c>
      <c r="N174" s="13" t="s">
        <v>1789</v>
      </c>
      <c r="O174" s="13" t="s">
        <v>1388</v>
      </c>
      <c r="P174" s="29"/>
      <c r="Q174" s="29"/>
      <c r="R174" s="29"/>
      <c r="S174" s="29" t="s">
        <v>492</v>
      </c>
      <c r="T174" s="29" t="s">
        <v>4076</v>
      </c>
      <c r="U174" s="29" t="s">
        <v>4077</v>
      </c>
      <c r="V174" s="29" t="s">
        <v>466</v>
      </c>
      <c r="W174" s="29" t="s">
        <v>385</v>
      </c>
    </row>
    <row r="175" spans="1:23" x14ac:dyDescent="0.25">
      <c r="A175" s="29">
        <v>167</v>
      </c>
      <c r="B175" s="29" t="s">
        <v>205</v>
      </c>
      <c r="C175" s="29" t="s">
        <v>2096</v>
      </c>
      <c r="D175" s="29" t="s">
        <v>1712</v>
      </c>
      <c r="E175" s="29" t="s">
        <v>1712</v>
      </c>
      <c r="F175" s="29"/>
      <c r="G175" s="29"/>
      <c r="H175" s="29"/>
      <c r="I175" s="29"/>
      <c r="J175" s="13" t="s">
        <v>3051</v>
      </c>
      <c r="K175" s="13" t="s">
        <v>1389</v>
      </c>
      <c r="L175" s="13" t="s">
        <v>2388</v>
      </c>
      <c r="M175" s="15" t="s">
        <v>3733</v>
      </c>
      <c r="N175" s="13" t="s">
        <v>1790</v>
      </c>
      <c r="O175" s="13" t="s">
        <v>1390</v>
      </c>
      <c r="P175" s="29"/>
      <c r="Q175" s="29"/>
      <c r="R175" s="29"/>
      <c r="S175" s="29" t="s">
        <v>492</v>
      </c>
      <c r="T175" s="29" t="s">
        <v>359</v>
      </c>
      <c r="U175" s="29" t="s">
        <v>2773</v>
      </c>
      <c r="V175" s="29" t="s">
        <v>466</v>
      </c>
      <c r="W175" s="29" t="s">
        <v>385</v>
      </c>
    </row>
    <row r="176" spans="1:23" x14ac:dyDescent="0.25">
      <c r="A176" s="29">
        <v>168</v>
      </c>
      <c r="B176" s="29" t="s">
        <v>112</v>
      </c>
      <c r="C176" s="29" t="s">
        <v>2097</v>
      </c>
      <c r="D176" s="29" t="s">
        <v>1712</v>
      </c>
      <c r="E176" s="29" t="s">
        <v>1712</v>
      </c>
      <c r="F176" s="29"/>
      <c r="G176" s="29"/>
      <c r="H176" s="29"/>
      <c r="I176" s="29"/>
      <c r="J176" s="13" t="s">
        <v>3052</v>
      </c>
      <c r="K176" s="13" t="s">
        <v>1391</v>
      </c>
      <c r="L176" s="13" t="s">
        <v>2389</v>
      </c>
      <c r="M176" s="15" t="s">
        <v>3734</v>
      </c>
      <c r="N176" s="13" t="s">
        <v>1791</v>
      </c>
      <c r="O176" s="13" t="s">
        <v>1392</v>
      </c>
      <c r="P176" s="29" t="s">
        <v>887</v>
      </c>
      <c r="Q176" s="29" t="s">
        <v>2597</v>
      </c>
      <c r="R176" s="29"/>
      <c r="S176" s="29" t="s">
        <v>889</v>
      </c>
      <c r="T176" s="29" t="s">
        <v>304</v>
      </c>
      <c r="U176" s="29" t="s">
        <v>2774</v>
      </c>
      <c r="V176" s="29" t="s">
        <v>890</v>
      </c>
      <c r="W176" s="29" t="s">
        <v>888</v>
      </c>
    </row>
    <row r="177" spans="1:23" x14ac:dyDescent="0.25">
      <c r="A177" s="29">
        <v>169</v>
      </c>
      <c r="B177" s="29" t="s">
        <v>1065</v>
      </c>
      <c r="C177" s="29" t="s">
        <v>2098</v>
      </c>
      <c r="D177" s="29" t="s">
        <v>1712</v>
      </c>
      <c r="E177" s="29" t="s">
        <v>1712</v>
      </c>
      <c r="F177" s="29"/>
      <c r="G177" s="29"/>
      <c r="H177" s="29"/>
      <c r="I177" s="29"/>
      <c r="J177" s="13" t="s">
        <v>3053</v>
      </c>
      <c r="K177" s="13" t="s">
        <v>1393</v>
      </c>
      <c r="L177" s="13" t="s">
        <v>2390</v>
      </c>
      <c r="M177" s="15" t="s">
        <v>3735</v>
      </c>
      <c r="N177" s="13" t="s">
        <v>1792</v>
      </c>
      <c r="O177" s="13" t="s">
        <v>1394</v>
      </c>
      <c r="P177" s="29" t="s">
        <v>902</v>
      </c>
      <c r="Q177" s="29" t="s">
        <v>2598</v>
      </c>
      <c r="R177" s="29"/>
      <c r="S177" s="29" t="s">
        <v>903</v>
      </c>
      <c r="T177" s="29" t="s">
        <v>306</v>
      </c>
      <c r="U177" s="29" t="s">
        <v>2775</v>
      </c>
      <c r="V177" s="29" t="s">
        <v>535</v>
      </c>
      <c r="W177" s="29" t="s">
        <v>395</v>
      </c>
    </row>
    <row r="178" spans="1:23" x14ac:dyDescent="0.25">
      <c r="A178" s="29">
        <v>316</v>
      </c>
      <c r="B178" s="29" t="s">
        <v>4236</v>
      </c>
      <c r="C178" s="29" t="s">
        <v>4237</v>
      </c>
      <c r="D178" s="29" t="s">
        <v>3570</v>
      </c>
      <c r="E178" s="29" t="s">
        <v>1922</v>
      </c>
      <c r="F178" s="29" t="s">
        <v>4238</v>
      </c>
      <c r="G178" s="29" t="s">
        <v>4239</v>
      </c>
      <c r="H178" s="29" t="s">
        <v>4240</v>
      </c>
      <c r="I178" s="29" t="s">
        <v>4241</v>
      </c>
      <c r="J178" s="13" t="s">
        <v>4242</v>
      </c>
      <c r="K178" s="13" t="s">
        <v>4243</v>
      </c>
      <c r="L178" s="13" t="s">
        <v>4244</v>
      </c>
      <c r="M178" s="15" t="s">
        <v>4245</v>
      </c>
      <c r="N178" s="13" t="s">
        <v>4246</v>
      </c>
      <c r="O178" s="13" t="s">
        <v>4247</v>
      </c>
      <c r="P178" s="29" t="s">
        <v>4248</v>
      </c>
      <c r="Q178" s="29" t="s">
        <v>4249</v>
      </c>
      <c r="R178" s="29" t="s">
        <v>4250</v>
      </c>
      <c r="S178" s="29" t="s">
        <v>4251</v>
      </c>
      <c r="T178" s="29" t="s">
        <v>4252</v>
      </c>
      <c r="U178" s="29" t="s">
        <v>4253</v>
      </c>
      <c r="V178" s="29" t="s">
        <v>418</v>
      </c>
      <c r="W178" s="29" t="s">
        <v>377</v>
      </c>
    </row>
    <row r="179" spans="1:23" x14ac:dyDescent="0.25">
      <c r="A179" s="29">
        <v>170</v>
      </c>
      <c r="B179" s="29" t="s">
        <v>633</v>
      </c>
      <c r="C179" s="29" t="s">
        <v>2099</v>
      </c>
      <c r="D179" s="29" t="s">
        <v>3622</v>
      </c>
      <c r="E179" s="29" t="s">
        <v>1921</v>
      </c>
      <c r="F179" s="29"/>
      <c r="G179" s="29"/>
      <c r="H179" s="29"/>
      <c r="I179" s="29"/>
      <c r="J179" s="13" t="s">
        <v>3054</v>
      </c>
      <c r="K179" s="13" t="s">
        <v>1395</v>
      </c>
      <c r="L179" s="13" t="s">
        <v>2391</v>
      </c>
      <c r="M179" s="15" t="s">
        <v>3736</v>
      </c>
      <c r="N179" s="13" t="s">
        <v>1793</v>
      </c>
      <c r="O179" s="13" t="s">
        <v>1396</v>
      </c>
      <c r="P179" s="29" t="s">
        <v>634</v>
      </c>
      <c r="Q179" s="29" t="s">
        <v>2599</v>
      </c>
      <c r="R179" s="29"/>
      <c r="S179" s="29" t="s">
        <v>636</v>
      </c>
      <c r="T179" s="29" t="s">
        <v>250</v>
      </c>
      <c r="U179" s="29" t="s">
        <v>2758</v>
      </c>
      <c r="V179" s="29" t="s">
        <v>637</v>
      </c>
      <c r="W179" s="29" t="s">
        <v>635</v>
      </c>
    </row>
    <row r="180" spans="1:23" x14ac:dyDescent="0.25">
      <c r="A180" s="29">
        <v>171</v>
      </c>
      <c r="B180" s="29" t="s">
        <v>155</v>
      </c>
      <c r="C180" s="29" t="s">
        <v>2100</v>
      </c>
      <c r="D180" s="29" t="s">
        <v>1712</v>
      </c>
      <c r="E180" s="29" t="s">
        <v>1712</v>
      </c>
      <c r="F180" s="29"/>
      <c r="G180" s="29"/>
      <c r="H180" s="29"/>
      <c r="I180" s="29"/>
      <c r="J180" s="13" t="s">
        <v>3055</v>
      </c>
      <c r="K180" s="13" t="s">
        <v>1397</v>
      </c>
      <c r="L180" s="13" t="s">
        <v>2392</v>
      </c>
      <c r="M180" s="15" t="s">
        <v>3737</v>
      </c>
      <c r="N180" s="13" t="s">
        <v>1794</v>
      </c>
      <c r="O180" s="13" t="s">
        <v>1398</v>
      </c>
      <c r="P180" s="29"/>
      <c r="Q180" s="29"/>
      <c r="R180" s="29"/>
      <c r="S180" s="29" t="s">
        <v>976</v>
      </c>
      <c r="T180" s="29" t="s">
        <v>333</v>
      </c>
      <c r="U180" s="29" t="s">
        <v>2680</v>
      </c>
      <c r="V180" s="29" t="s">
        <v>418</v>
      </c>
      <c r="W180" s="29" t="s">
        <v>377</v>
      </c>
    </row>
    <row r="181" spans="1:23" x14ac:dyDescent="0.25">
      <c r="A181" s="29">
        <v>172</v>
      </c>
      <c r="B181" s="29" t="s">
        <v>686</v>
      </c>
      <c r="C181" s="29" t="s">
        <v>2101</v>
      </c>
      <c r="D181" s="29" t="s">
        <v>1712</v>
      </c>
      <c r="E181" s="29" t="s">
        <v>1712</v>
      </c>
      <c r="F181" s="29"/>
      <c r="G181" s="29"/>
      <c r="H181" s="29"/>
      <c r="I181" s="29"/>
      <c r="J181" s="13" t="s">
        <v>3056</v>
      </c>
      <c r="K181" s="13" t="s">
        <v>1399</v>
      </c>
      <c r="L181" s="13" t="s">
        <v>2393</v>
      </c>
      <c r="M181" s="15" t="s">
        <v>3621</v>
      </c>
      <c r="N181" s="13" t="s">
        <v>1795</v>
      </c>
      <c r="O181" s="13" t="s">
        <v>1400</v>
      </c>
      <c r="P181" s="29" t="s">
        <v>687</v>
      </c>
      <c r="Q181" s="29" t="s">
        <v>2600</v>
      </c>
      <c r="R181" s="29"/>
      <c r="S181" s="29" t="s">
        <v>688</v>
      </c>
      <c r="T181" s="29" t="s">
        <v>2671</v>
      </c>
      <c r="U181" s="29" t="s">
        <v>2776</v>
      </c>
      <c r="V181" s="29" t="s">
        <v>421</v>
      </c>
      <c r="W181" s="29" t="s">
        <v>375</v>
      </c>
    </row>
    <row r="182" spans="1:23" x14ac:dyDescent="0.25">
      <c r="A182" s="29">
        <v>173</v>
      </c>
      <c r="B182" s="29" t="s">
        <v>659</v>
      </c>
      <c r="C182" s="29" t="s">
        <v>2102</v>
      </c>
      <c r="D182" s="29" t="s">
        <v>3556</v>
      </c>
      <c r="E182" s="29" t="s">
        <v>1921</v>
      </c>
      <c r="F182" s="29"/>
      <c r="G182" s="29"/>
      <c r="H182" s="29"/>
      <c r="I182" s="29"/>
      <c r="J182" s="13" t="s">
        <v>3057</v>
      </c>
      <c r="K182" s="13" t="s">
        <v>1401</v>
      </c>
      <c r="L182" s="13" t="s">
        <v>2394</v>
      </c>
      <c r="M182" s="15" t="s">
        <v>3687</v>
      </c>
      <c r="N182" s="13" t="s">
        <v>1796</v>
      </c>
      <c r="O182" s="13" t="s">
        <v>1402</v>
      </c>
      <c r="P182" s="29" t="s">
        <v>660</v>
      </c>
      <c r="Q182" s="29" t="s">
        <v>2601</v>
      </c>
      <c r="R182" s="29"/>
      <c r="S182" s="29" t="s">
        <v>661</v>
      </c>
      <c r="T182" s="29" t="s">
        <v>4078</v>
      </c>
      <c r="U182" s="29" t="s">
        <v>4079</v>
      </c>
      <c r="V182" s="29" t="s">
        <v>665</v>
      </c>
      <c r="W182" s="29" t="s">
        <v>664</v>
      </c>
    </row>
    <row r="183" spans="1:23" x14ac:dyDescent="0.25">
      <c r="A183" s="29">
        <v>174</v>
      </c>
      <c r="B183" s="29" t="s">
        <v>715</v>
      </c>
      <c r="C183" s="29" t="s">
        <v>2103</v>
      </c>
      <c r="D183" s="29" t="s">
        <v>3566</v>
      </c>
      <c r="E183" s="29" t="s">
        <v>1921</v>
      </c>
      <c r="F183" s="29"/>
      <c r="G183" s="29"/>
      <c r="H183" s="29"/>
      <c r="I183" s="29"/>
      <c r="J183" s="13" t="s">
        <v>3173</v>
      </c>
      <c r="K183" s="13" t="s">
        <v>1403</v>
      </c>
      <c r="L183" s="13" t="s">
        <v>2395</v>
      </c>
      <c r="M183" s="15" t="s">
        <v>3738</v>
      </c>
      <c r="N183" s="13" t="s">
        <v>1797</v>
      </c>
      <c r="O183" s="13" t="s">
        <v>1404</v>
      </c>
      <c r="P183" s="29" t="s">
        <v>716</v>
      </c>
      <c r="Q183" s="29" t="s">
        <v>2602</v>
      </c>
      <c r="R183" s="29"/>
      <c r="S183" s="29" t="s">
        <v>718</v>
      </c>
      <c r="T183" s="29" t="s">
        <v>2672</v>
      </c>
      <c r="U183" s="29" t="s">
        <v>2777</v>
      </c>
      <c r="V183" s="29" t="s">
        <v>699</v>
      </c>
      <c r="W183" s="29" t="s">
        <v>717</v>
      </c>
    </row>
    <row r="184" spans="1:23" x14ac:dyDescent="0.25">
      <c r="A184" s="29">
        <v>175</v>
      </c>
      <c r="B184" s="29" t="s">
        <v>157</v>
      </c>
      <c r="C184" s="29" t="s">
        <v>2104</v>
      </c>
      <c r="D184" s="29" t="s">
        <v>1712</v>
      </c>
      <c r="E184" s="29" t="s">
        <v>1712</v>
      </c>
      <c r="F184" s="29"/>
      <c r="G184" s="29"/>
      <c r="H184" s="29"/>
      <c r="I184" s="29"/>
      <c r="J184" s="13" t="s">
        <v>3058</v>
      </c>
      <c r="K184" s="13" t="s">
        <v>1405</v>
      </c>
      <c r="L184" s="13" t="s">
        <v>2396</v>
      </c>
      <c r="M184" s="15" t="s">
        <v>3739</v>
      </c>
      <c r="N184" s="13" t="s">
        <v>1667</v>
      </c>
      <c r="O184" s="13" t="s">
        <v>1406</v>
      </c>
      <c r="P184" s="29"/>
      <c r="Q184" s="29"/>
      <c r="R184" s="29"/>
      <c r="S184" s="29" t="s">
        <v>977</v>
      </c>
      <c r="T184" s="29" t="s">
        <v>334</v>
      </c>
      <c r="U184" s="29" t="s">
        <v>2683</v>
      </c>
      <c r="V184" s="29" t="s">
        <v>421</v>
      </c>
      <c r="W184" s="29" t="s">
        <v>375</v>
      </c>
    </row>
    <row r="185" spans="1:23" x14ac:dyDescent="0.25">
      <c r="A185" s="29">
        <v>176</v>
      </c>
      <c r="B185" s="29" t="s">
        <v>419</v>
      </c>
      <c r="C185" s="29" t="s">
        <v>2105</v>
      </c>
      <c r="D185" s="29" t="s">
        <v>3576</v>
      </c>
      <c r="E185" s="29" t="s">
        <v>1921</v>
      </c>
      <c r="F185" s="29"/>
      <c r="G185" s="29"/>
      <c r="H185" s="29"/>
      <c r="I185" s="29"/>
      <c r="J185" s="13" t="s">
        <v>3059</v>
      </c>
      <c r="K185" s="13" t="s">
        <v>1407</v>
      </c>
      <c r="L185" s="13" t="s">
        <v>2397</v>
      </c>
      <c r="M185" s="15" t="s">
        <v>3740</v>
      </c>
      <c r="N185" s="13" t="s">
        <v>1798</v>
      </c>
      <c r="O185" s="13" t="s">
        <v>1408</v>
      </c>
      <c r="P185" s="29"/>
      <c r="Q185" s="29"/>
      <c r="R185" s="29"/>
      <c r="S185" s="29" t="s">
        <v>420</v>
      </c>
      <c r="T185" s="29" t="s">
        <v>224</v>
      </c>
      <c r="U185" s="29" t="s">
        <v>2778</v>
      </c>
      <c r="V185" s="29" t="s">
        <v>421</v>
      </c>
      <c r="W185" s="29" t="s">
        <v>375</v>
      </c>
    </row>
    <row r="186" spans="1:23" x14ac:dyDescent="0.25">
      <c r="A186" s="29">
        <v>177</v>
      </c>
      <c r="B186" s="29" t="s">
        <v>457</v>
      </c>
      <c r="C186" s="29" t="s">
        <v>2106</v>
      </c>
      <c r="D186" s="29" t="s">
        <v>1712</v>
      </c>
      <c r="E186" s="29" t="s">
        <v>1712</v>
      </c>
      <c r="F186" s="29"/>
      <c r="G186" s="29"/>
      <c r="H186" s="29"/>
      <c r="I186" s="29"/>
      <c r="J186" s="13" t="s">
        <v>1667</v>
      </c>
      <c r="K186" s="13" t="s">
        <v>1667</v>
      </c>
      <c r="L186" s="13" t="s">
        <v>1667</v>
      </c>
      <c r="N186" s="13" t="s">
        <v>1667</v>
      </c>
      <c r="O186" s="13" t="s">
        <v>1409</v>
      </c>
      <c r="P186" s="29"/>
      <c r="Q186" s="29"/>
      <c r="R186" s="29"/>
      <c r="S186" s="29" t="s">
        <v>458</v>
      </c>
      <c r="T186" s="29" t="s">
        <v>4042</v>
      </c>
      <c r="U186" s="29" t="s">
        <v>4043</v>
      </c>
      <c r="V186" s="29" t="s">
        <v>421</v>
      </c>
      <c r="W186" s="29" t="s">
        <v>375</v>
      </c>
    </row>
    <row r="187" spans="1:23" x14ac:dyDescent="0.25">
      <c r="A187" s="29">
        <v>178</v>
      </c>
      <c r="B187" s="29" t="s">
        <v>570</v>
      </c>
      <c r="C187" s="29" t="s">
        <v>2107</v>
      </c>
      <c r="D187" s="29" t="s">
        <v>3594</v>
      </c>
      <c r="E187" s="29" t="s">
        <v>1923</v>
      </c>
      <c r="F187" s="29" t="s">
        <v>3278</v>
      </c>
      <c r="G187" s="29" t="s">
        <v>3279</v>
      </c>
      <c r="H187" s="29" t="s">
        <v>3240</v>
      </c>
      <c r="I187" s="29" t="s">
        <v>3241</v>
      </c>
      <c r="J187" s="13" t="s">
        <v>3060</v>
      </c>
      <c r="K187" s="13" t="s">
        <v>1410</v>
      </c>
      <c r="L187" s="13" t="s">
        <v>2398</v>
      </c>
      <c r="M187" s="15" t="s">
        <v>3741</v>
      </c>
      <c r="N187" s="13" t="s">
        <v>1799</v>
      </c>
      <c r="O187" s="13" t="s">
        <v>1411</v>
      </c>
      <c r="P187" s="29" t="s">
        <v>571</v>
      </c>
      <c r="Q187" s="29" t="s">
        <v>2603</v>
      </c>
      <c r="R187" s="29" t="s">
        <v>4171</v>
      </c>
      <c r="S187" s="29" t="s">
        <v>4172</v>
      </c>
      <c r="T187" s="29" t="s">
        <v>4173</v>
      </c>
      <c r="U187" s="29" t="s">
        <v>3532</v>
      </c>
      <c r="V187" s="29" t="s">
        <v>421</v>
      </c>
      <c r="W187" s="29" t="s">
        <v>375</v>
      </c>
    </row>
    <row r="188" spans="1:23" x14ac:dyDescent="0.25">
      <c r="A188" s="29">
        <v>179</v>
      </c>
      <c r="B188" s="29" t="s">
        <v>623</v>
      </c>
      <c r="C188" s="29" t="s">
        <v>2108</v>
      </c>
      <c r="D188" s="29" t="s">
        <v>1712</v>
      </c>
      <c r="E188" s="29" t="s">
        <v>1712</v>
      </c>
      <c r="F188" s="29"/>
      <c r="G188" s="29"/>
      <c r="H188" s="29"/>
      <c r="I188" s="29"/>
      <c r="J188" s="13" t="s">
        <v>3061</v>
      </c>
      <c r="K188" s="13" t="s">
        <v>1412</v>
      </c>
      <c r="L188" s="13" t="s">
        <v>2399</v>
      </c>
      <c r="M188" s="15" t="s">
        <v>3742</v>
      </c>
      <c r="N188" s="13" t="s">
        <v>1800</v>
      </c>
      <c r="O188" s="13" t="s">
        <v>1413</v>
      </c>
      <c r="P188" s="29"/>
      <c r="Q188" s="29"/>
      <c r="R188" s="29"/>
      <c r="S188" s="29" t="s">
        <v>492</v>
      </c>
      <c r="T188" s="29" t="s">
        <v>248</v>
      </c>
      <c r="U188" s="29" t="s">
        <v>2779</v>
      </c>
      <c r="V188" s="29" t="s">
        <v>466</v>
      </c>
      <c r="W188" s="29" t="s">
        <v>385</v>
      </c>
    </row>
    <row r="189" spans="1:23" x14ac:dyDescent="0.25">
      <c r="A189" s="29">
        <v>180</v>
      </c>
      <c r="B189" s="29" t="s">
        <v>706</v>
      </c>
      <c r="C189" s="29" t="s">
        <v>2109</v>
      </c>
      <c r="D189" s="29" t="s">
        <v>3578</v>
      </c>
      <c r="E189" s="29" t="s">
        <v>1924</v>
      </c>
      <c r="F189" s="29"/>
      <c r="G189" s="29"/>
      <c r="H189" s="29"/>
      <c r="I189" s="29"/>
      <c r="J189" s="13" t="s">
        <v>3174</v>
      </c>
      <c r="K189" s="13" t="s">
        <v>1414</v>
      </c>
      <c r="L189" s="13" t="s">
        <v>2400</v>
      </c>
      <c r="M189" s="15" t="s">
        <v>3743</v>
      </c>
      <c r="N189" s="13" t="s">
        <v>1801</v>
      </c>
      <c r="O189" s="13" t="s">
        <v>1415</v>
      </c>
      <c r="P189" s="29" t="s">
        <v>707</v>
      </c>
      <c r="Q189" s="29" t="s">
        <v>2604</v>
      </c>
      <c r="R189" s="29"/>
      <c r="S189" s="29" t="s">
        <v>709</v>
      </c>
      <c r="T189" s="29" t="s">
        <v>2673</v>
      </c>
      <c r="U189" s="29" t="s">
        <v>2780</v>
      </c>
      <c r="V189" s="29" t="s">
        <v>710</v>
      </c>
      <c r="W189" s="29" t="s">
        <v>708</v>
      </c>
    </row>
    <row r="190" spans="1:23" x14ac:dyDescent="0.25">
      <c r="A190" s="29">
        <v>181</v>
      </c>
      <c r="B190" s="29" t="s">
        <v>600</v>
      </c>
      <c r="C190" s="29" t="s">
        <v>2110</v>
      </c>
      <c r="D190" s="29" t="s">
        <v>3606</v>
      </c>
      <c r="E190" s="29" t="s">
        <v>1921</v>
      </c>
      <c r="F190" s="29"/>
      <c r="G190" s="29"/>
      <c r="H190" s="29"/>
      <c r="I190" s="29"/>
      <c r="J190" s="13" t="s">
        <v>3062</v>
      </c>
      <c r="K190" s="13" t="s">
        <v>1416</v>
      </c>
      <c r="L190" s="13" t="s">
        <v>2401</v>
      </c>
      <c r="M190" s="15" t="s">
        <v>3744</v>
      </c>
      <c r="N190" s="13" t="s">
        <v>1802</v>
      </c>
      <c r="O190" s="13" t="s">
        <v>1417</v>
      </c>
      <c r="P190" s="29"/>
      <c r="Q190" s="29"/>
      <c r="R190" s="29"/>
      <c r="S190" s="29" t="s">
        <v>602</v>
      </c>
      <c r="T190" s="29" t="s">
        <v>247</v>
      </c>
      <c r="U190" s="29" t="s">
        <v>2781</v>
      </c>
      <c r="V190" s="29" t="s">
        <v>603</v>
      </c>
      <c r="W190" s="29" t="s">
        <v>601</v>
      </c>
    </row>
    <row r="191" spans="1:23" x14ac:dyDescent="0.25">
      <c r="A191" s="29">
        <v>182</v>
      </c>
      <c r="B191" s="29" t="s">
        <v>154</v>
      </c>
      <c r="C191" s="29" t="s">
        <v>2111</v>
      </c>
      <c r="D191" s="29" t="s">
        <v>1712</v>
      </c>
      <c r="E191" s="29" t="s">
        <v>1712</v>
      </c>
      <c r="F191" s="29"/>
      <c r="G191" s="29"/>
      <c r="H191" s="29"/>
      <c r="I191" s="29"/>
      <c r="J191" s="13" t="s">
        <v>3063</v>
      </c>
      <c r="K191" s="13" t="s">
        <v>1418</v>
      </c>
      <c r="L191" s="13" t="s">
        <v>2402</v>
      </c>
      <c r="M191" s="15" t="s">
        <v>3745</v>
      </c>
      <c r="N191" s="13" t="s">
        <v>1803</v>
      </c>
      <c r="O191" s="13" t="s">
        <v>1419</v>
      </c>
      <c r="P191" s="29"/>
      <c r="Q191" s="29"/>
      <c r="R191" s="29"/>
      <c r="S191" s="29" t="s">
        <v>974</v>
      </c>
      <c r="T191" s="29" t="s">
        <v>4080</v>
      </c>
      <c r="U191" s="29" t="s">
        <v>4081</v>
      </c>
      <c r="V191" s="29" t="s">
        <v>975</v>
      </c>
      <c r="W191" s="29" t="s">
        <v>973</v>
      </c>
    </row>
    <row r="192" spans="1:23" x14ac:dyDescent="0.25">
      <c r="A192" s="29">
        <v>183</v>
      </c>
      <c r="B192" s="29" t="s">
        <v>161</v>
      </c>
      <c r="C192" s="29" t="s">
        <v>2112</v>
      </c>
      <c r="D192" s="29" t="s">
        <v>1712</v>
      </c>
      <c r="E192" s="29" t="s">
        <v>1712</v>
      </c>
      <c r="F192" s="29"/>
      <c r="G192" s="29"/>
      <c r="H192" s="29"/>
      <c r="I192" s="29"/>
      <c r="J192" s="13" t="s">
        <v>3064</v>
      </c>
      <c r="K192" s="13" t="s">
        <v>1420</v>
      </c>
      <c r="L192" s="13" t="s">
        <v>2403</v>
      </c>
      <c r="M192" s="15" t="s">
        <v>3746</v>
      </c>
      <c r="N192" s="13" t="s">
        <v>1804</v>
      </c>
      <c r="O192" s="13" t="s">
        <v>1421</v>
      </c>
      <c r="P192" s="29"/>
      <c r="Q192" s="29"/>
      <c r="R192" s="29"/>
      <c r="S192" s="29" t="s">
        <v>981</v>
      </c>
      <c r="T192" s="29" t="s">
        <v>334</v>
      </c>
      <c r="U192" s="29" t="s">
        <v>2683</v>
      </c>
      <c r="V192" s="29" t="s">
        <v>421</v>
      </c>
      <c r="W192" s="29" t="s">
        <v>375</v>
      </c>
    </row>
    <row r="193" spans="1:23" x14ac:dyDescent="0.25">
      <c r="A193" s="29">
        <v>184</v>
      </c>
      <c r="B193" s="29" t="s">
        <v>76</v>
      </c>
      <c r="C193" s="29" t="s">
        <v>2113</v>
      </c>
      <c r="D193" s="29" t="s">
        <v>1712</v>
      </c>
      <c r="E193" s="29" t="s">
        <v>1712</v>
      </c>
      <c r="F193" s="29"/>
      <c r="G193" s="29"/>
      <c r="H193" s="29"/>
      <c r="I193" s="29"/>
      <c r="J193" s="13" t="s">
        <v>1667</v>
      </c>
      <c r="K193" s="13" t="s">
        <v>1667</v>
      </c>
      <c r="L193" s="13" t="s">
        <v>1667</v>
      </c>
      <c r="N193" s="13" t="s">
        <v>1805</v>
      </c>
      <c r="O193" s="13" t="s">
        <v>1422</v>
      </c>
      <c r="P193" s="29" t="s">
        <v>811</v>
      </c>
      <c r="Q193" s="29" t="s">
        <v>2605</v>
      </c>
      <c r="R193" s="29"/>
      <c r="S193" s="29" t="s">
        <v>812</v>
      </c>
      <c r="T193" s="29" t="s">
        <v>280</v>
      </c>
      <c r="U193" s="29" t="s">
        <v>2782</v>
      </c>
      <c r="V193" s="29" t="s">
        <v>418</v>
      </c>
      <c r="W193" s="29" t="s">
        <v>377</v>
      </c>
    </row>
    <row r="194" spans="1:23" x14ac:dyDescent="0.25">
      <c r="A194" s="29">
        <v>185</v>
      </c>
      <c r="B194" s="29" t="s">
        <v>162</v>
      </c>
      <c r="C194" s="29" t="s">
        <v>2114</v>
      </c>
      <c r="D194" s="29" t="s">
        <v>3622</v>
      </c>
      <c r="E194" s="29" t="s">
        <v>1921</v>
      </c>
      <c r="F194" s="29" t="s">
        <v>3319</v>
      </c>
      <c r="G194" s="29" t="s">
        <v>3320</v>
      </c>
      <c r="H194" s="29" t="s">
        <v>3227</v>
      </c>
      <c r="I194" s="29" t="s">
        <v>3228</v>
      </c>
      <c r="J194" s="13" t="s">
        <v>3065</v>
      </c>
      <c r="K194" s="13" t="s">
        <v>1423</v>
      </c>
      <c r="L194" s="13" t="s">
        <v>2404</v>
      </c>
      <c r="M194" s="15" t="s">
        <v>3747</v>
      </c>
      <c r="N194" s="13" t="s">
        <v>1806</v>
      </c>
      <c r="O194" s="13" t="s">
        <v>1424</v>
      </c>
      <c r="P194" s="29" t="s">
        <v>267</v>
      </c>
      <c r="Q194" s="29" t="s">
        <v>2606</v>
      </c>
      <c r="R194" s="29" t="s">
        <v>3748</v>
      </c>
      <c r="S194" s="29" t="s">
        <v>982</v>
      </c>
      <c r="T194" s="29" t="s">
        <v>337</v>
      </c>
      <c r="U194" s="29" t="s">
        <v>2705</v>
      </c>
      <c r="V194" s="29" t="s">
        <v>421</v>
      </c>
      <c r="W194" s="29" t="s">
        <v>375</v>
      </c>
    </row>
    <row r="195" spans="1:23" x14ac:dyDescent="0.25">
      <c r="A195" s="29">
        <v>186</v>
      </c>
      <c r="B195" s="29" t="s">
        <v>443</v>
      </c>
      <c r="C195" s="29" t="s">
        <v>2115</v>
      </c>
      <c r="D195" s="29" t="s">
        <v>3558</v>
      </c>
      <c r="E195" s="29" t="s">
        <v>1922</v>
      </c>
      <c r="F195" s="29"/>
      <c r="G195" s="29"/>
      <c r="H195" s="29"/>
      <c r="I195" s="29"/>
      <c r="J195" s="13" t="s">
        <v>3066</v>
      </c>
      <c r="K195" s="13" t="s">
        <v>1425</v>
      </c>
      <c r="L195" s="13" t="s">
        <v>2405</v>
      </c>
      <c r="M195" s="15" t="s">
        <v>3749</v>
      </c>
      <c r="N195" s="13" t="s">
        <v>1807</v>
      </c>
      <c r="O195" s="13" t="s">
        <v>1426</v>
      </c>
      <c r="P195" s="29"/>
      <c r="Q195" s="29"/>
      <c r="R195" s="29"/>
      <c r="S195" s="29" t="s">
        <v>444</v>
      </c>
      <c r="T195" s="29" t="s">
        <v>4082</v>
      </c>
      <c r="U195" s="29" t="s">
        <v>4083</v>
      </c>
      <c r="V195" s="29" t="s">
        <v>445</v>
      </c>
      <c r="W195" s="29" t="s">
        <v>383</v>
      </c>
    </row>
    <row r="196" spans="1:23" x14ac:dyDescent="0.25">
      <c r="A196" s="29">
        <v>187</v>
      </c>
      <c r="B196" s="29" t="s">
        <v>552</v>
      </c>
      <c r="C196" s="29" t="s">
        <v>2116</v>
      </c>
      <c r="D196" s="29" t="s">
        <v>1712</v>
      </c>
      <c r="E196" s="29" t="s">
        <v>1712</v>
      </c>
      <c r="F196" s="29"/>
      <c r="G196" s="29"/>
      <c r="H196" s="29"/>
      <c r="I196" s="29"/>
      <c r="J196" s="13" t="s">
        <v>3067</v>
      </c>
      <c r="K196" s="13" t="s">
        <v>1427</v>
      </c>
      <c r="L196" s="13" t="s">
        <v>2406</v>
      </c>
      <c r="M196" s="15" t="s">
        <v>3750</v>
      </c>
      <c r="N196" s="13" t="s">
        <v>1808</v>
      </c>
      <c r="O196" s="13" t="s">
        <v>1428</v>
      </c>
      <c r="P196" s="29" t="s">
        <v>553</v>
      </c>
      <c r="Q196" s="29" t="s">
        <v>2607</v>
      </c>
      <c r="R196" s="29"/>
      <c r="S196" s="29" t="s">
        <v>554</v>
      </c>
      <c r="T196" s="29" t="s">
        <v>240</v>
      </c>
      <c r="U196" s="29" t="s">
        <v>2783</v>
      </c>
      <c r="V196" s="29" t="s">
        <v>555</v>
      </c>
      <c r="W196" s="29" t="s">
        <v>397</v>
      </c>
    </row>
    <row r="197" spans="1:23" x14ac:dyDescent="0.25">
      <c r="A197" s="29">
        <v>188</v>
      </c>
      <c r="B197" s="29" t="s">
        <v>666</v>
      </c>
      <c r="C197" s="29" t="s">
        <v>2117</v>
      </c>
      <c r="D197" s="29" t="s">
        <v>1712</v>
      </c>
      <c r="E197" s="29" t="s">
        <v>1712</v>
      </c>
      <c r="F197" s="29"/>
      <c r="G197" s="29"/>
      <c r="H197" s="29"/>
      <c r="I197" s="29"/>
      <c r="J197" s="13" t="s">
        <v>3068</v>
      </c>
      <c r="K197" s="13" t="s">
        <v>1429</v>
      </c>
      <c r="L197" s="13" t="s">
        <v>2407</v>
      </c>
      <c r="M197" s="15" t="s">
        <v>3751</v>
      </c>
      <c r="N197" s="13" t="s">
        <v>1809</v>
      </c>
      <c r="O197" s="13" t="s">
        <v>1430</v>
      </c>
      <c r="P197" s="29" t="s">
        <v>667</v>
      </c>
      <c r="Q197" s="29" t="s">
        <v>2608</v>
      </c>
      <c r="R197" s="29"/>
      <c r="S197" s="29" t="s">
        <v>668</v>
      </c>
      <c r="T197" s="29" t="s">
        <v>4084</v>
      </c>
      <c r="U197" s="29" t="s">
        <v>4085</v>
      </c>
      <c r="V197" s="29" t="s">
        <v>445</v>
      </c>
      <c r="W197" s="29" t="s">
        <v>383</v>
      </c>
    </row>
    <row r="198" spans="1:23" x14ac:dyDescent="0.25">
      <c r="A198" s="29">
        <v>189</v>
      </c>
      <c r="B198" s="29" t="s">
        <v>170</v>
      </c>
      <c r="C198" s="29" t="s">
        <v>2118</v>
      </c>
      <c r="D198" s="29" t="s">
        <v>1712</v>
      </c>
      <c r="E198" s="29" t="s">
        <v>1712</v>
      </c>
      <c r="F198" s="29"/>
      <c r="G198" s="29"/>
      <c r="H198" s="29"/>
      <c r="I198" s="29"/>
      <c r="J198" s="13" t="s">
        <v>3069</v>
      </c>
      <c r="K198" s="13" t="s">
        <v>1431</v>
      </c>
      <c r="L198" s="13" t="s">
        <v>2408</v>
      </c>
      <c r="M198" s="15" t="s">
        <v>3752</v>
      </c>
      <c r="N198" s="13" t="s">
        <v>1810</v>
      </c>
      <c r="O198" s="13" t="s">
        <v>1432</v>
      </c>
      <c r="P198" s="29"/>
      <c r="Q198" s="29"/>
      <c r="R198" s="29"/>
      <c r="S198" s="29" t="s">
        <v>990</v>
      </c>
      <c r="T198" s="29" t="s">
        <v>4086</v>
      </c>
      <c r="U198" s="29" t="s">
        <v>4087</v>
      </c>
      <c r="V198" s="29" t="s">
        <v>414</v>
      </c>
      <c r="W198" s="29" t="s">
        <v>376</v>
      </c>
    </row>
    <row r="199" spans="1:23" x14ac:dyDescent="0.25">
      <c r="A199" s="29">
        <v>190</v>
      </c>
      <c r="B199" s="29" t="s">
        <v>1066</v>
      </c>
      <c r="C199" s="29" t="s">
        <v>2119</v>
      </c>
      <c r="D199" s="29" t="s">
        <v>1712</v>
      </c>
      <c r="E199" s="29" t="s">
        <v>1712</v>
      </c>
      <c r="F199" s="29"/>
      <c r="G199" s="29"/>
      <c r="H199" s="29"/>
      <c r="I199" s="29"/>
      <c r="J199" s="13" t="s">
        <v>3070</v>
      </c>
      <c r="K199" s="13" t="s">
        <v>1433</v>
      </c>
      <c r="L199" s="13" t="s">
        <v>2409</v>
      </c>
      <c r="M199" s="15" t="s">
        <v>3753</v>
      </c>
      <c r="N199" s="13" t="s">
        <v>1811</v>
      </c>
      <c r="O199" s="13" t="s">
        <v>1434</v>
      </c>
      <c r="P199" s="29" t="s">
        <v>556</v>
      </c>
      <c r="Q199" s="29" t="s">
        <v>2609</v>
      </c>
      <c r="R199" s="29"/>
      <c r="S199" s="29" t="s">
        <v>557</v>
      </c>
      <c r="T199" s="29" t="s">
        <v>4088</v>
      </c>
      <c r="U199" s="29" t="s">
        <v>4089</v>
      </c>
      <c r="V199" s="29" t="s">
        <v>428</v>
      </c>
      <c r="W199" s="29" t="s">
        <v>378</v>
      </c>
    </row>
    <row r="200" spans="1:23" x14ac:dyDescent="0.25">
      <c r="A200" s="29">
        <v>191</v>
      </c>
      <c r="B200" s="29" t="s">
        <v>75</v>
      </c>
      <c r="C200" s="29" t="s">
        <v>2120</v>
      </c>
      <c r="D200" s="29" t="s">
        <v>3558</v>
      </c>
      <c r="E200" s="29" t="s">
        <v>1922</v>
      </c>
      <c r="F200" s="29"/>
      <c r="G200" s="29"/>
      <c r="H200" s="29"/>
      <c r="I200" s="29"/>
      <c r="J200" s="13" t="s">
        <v>3071</v>
      </c>
      <c r="K200" s="13" t="s">
        <v>1435</v>
      </c>
      <c r="L200" s="13" t="s">
        <v>2410</v>
      </c>
      <c r="M200" s="15" t="s">
        <v>3754</v>
      </c>
      <c r="N200" s="13" t="s">
        <v>1812</v>
      </c>
      <c r="O200" s="13" t="s">
        <v>1436</v>
      </c>
      <c r="P200" s="29" t="s">
        <v>808</v>
      </c>
      <c r="Q200" s="29" t="s">
        <v>2610</v>
      </c>
      <c r="R200" s="29"/>
      <c r="S200" s="29" t="s">
        <v>810</v>
      </c>
      <c r="T200" s="29" t="s">
        <v>279</v>
      </c>
      <c r="U200" s="29" t="s">
        <v>2784</v>
      </c>
      <c r="V200" s="29" t="s">
        <v>560</v>
      </c>
      <c r="W200" s="29" t="s">
        <v>809</v>
      </c>
    </row>
    <row r="201" spans="1:23" x14ac:dyDescent="0.25">
      <c r="A201" s="29">
        <v>192</v>
      </c>
      <c r="B201" s="29" t="s">
        <v>195</v>
      </c>
      <c r="C201" s="29" t="s">
        <v>2121</v>
      </c>
      <c r="D201" s="29" t="s">
        <v>3606</v>
      </c>
      <c r="E201" s="29" t="s">
        <v>1921</v>
      </c>
      <c r="F201" s="29" t="s">
        <v>3385</v>
      </c>
      <c r="G201" s="29" t="s">
        <v>3386</v>
      </c>
      <c r="H201" s="29" t="s">
        <v>3240</v>
      </c>
      <c r="I201" s="29" t="s">
        <v>3241</v>
      </c>
      <c r="J201" s="13" t="s">
        <v>3072</v>
      </c>
      <c r="K201" s="13" t="s">
        <v>1437</v>
      </c>
      <c r="L201" s="13" t="s">
        <v>2411</v>
      </c>
      <c r="M201" s="15" t="s">
        <v>3755</v>
      </c>
      <c r="N201" s="13" t="s">
        <v>1813</v>
      </c>
      <c r="O201" s="13" t="s">
        <v>1438</v>
      </c>
      <c r="P201" s="29" t="s">
        <v>3387</v>
      </c>
      <c r="Q201" s="29" t="s">
        <v>3388</v>
      </c>
      <c r="R201" s="29" t="s">
        <v>3389</v>
      </c>
      <c r="S201" s="29" t="s">
        <v>691</v>
      </c>
      <c r="T201" s="29" t="s">
        <v>267</v>
      </c>
      <c r="U201" s="29" t="s">
        <v>2606</v>
      </c>
      <c r="V201" s="29" t="s">
        <v>421</v>
      </c>
      <c r="W201" s="29" t="s">
        <v>375</v>
      </c>
    </row>
    <row r="202" spans="1:23" x14ac:dyDescent="0.25">
      <c r="A202" s="29">
        <v>193</v>
      </c>
      <c r="B202" s="29" t="s">
        <v>84</v>
      </c>
      <c r="C202" s="29" t="s">
        <v>2122</v>
      </c>
      <c r="D202" s="29" t="s">
        <v>1712</v>
      </c>
      <c r="E202" s="29" t="s">
        <v>1712</v>
      </c>
      <c r="F202" s="29"/>
      <c r="G202" s="29"/>
      <c r="H202" s="29"/>
      <c r="I202" s="29"/>
      <c r="J202" s="13" t="s">
        <v>3073</v>
      </c>
      <c r="K202" s="13" t="s">
        <v>1439</v>
      </c>
      <c r="L202" s="13" t="s">
        <v>2412</v>
      </c>
      <c r="M202" s="15" t="s">
        <v>3756</v>
      </c>
      <c r="N202" s="13" t="s">
        <v>1814</v>
      </c>
      <c r="O202" s="13" t="s">
        <v>1440</v>
      </c>
      <c r="P202" s="29" t="s">
        <v>827</v>
      </c>
      <c r="Q202" s="29" t="s">
        <v>2611</v>
      </c>
      <c r="R202" s="29"/>
      <c r="S202" s="29" t="s">
        <v>828</v>
      </c>
      <c r="T202" s="29" t="s">
        <v>283</v>
      </c>
      <c r="U202" s="29" t="s">
        <v>2785</v>
      </c>
      <c r="V202" s="29" t="s">
        <v>591</v>
      </c>
      <c r="W202" s="29" t="s">
        <v>3757</v>
      </c>
    </row>
    <row r="203" spans="1:23" x14ac:dyDescent="0.25">
      <c r="A203" s="29">
        <v>302</v>
      </c>
      <c r="B203" s="29" t="s">
        <v>3515</v>
      </c>
      <c r="C203" s="29" t="s">
        <v>3516</v>
      </c>
      <c r="D203" s="29" t="s">
        <v>3707</v>
      </c>
      <c r="E203" s="29" t="s">
        <v>1924</v>
      </c>
      <c r="F203" s="29" t="s">
        <v>3290</v>
      </c>
      <c r="G203" s="29" t="s">
        <v>3517</v>
      </c>
      <c r="H203" s="29" t="s">
        <v>3518</v>
      </c>
      <c r="I203" s="29" t="s">
        <v>3519</v>
      </c>
      <c r="J203" s="13" t="s">
        <v>3520</v>
      </c>
      <c r="K203" s="13" t="s">
        <v>3521</v>
      </c>
      <c r="L203" s="13"/>
      <c r="M203" s="15" t="s">
        <v>3858</v>
      </c>
      <c r="N203" s="13" t="s">
        <v>3522</v>
      </c>
      <c r="O203" s="13" t="s">
        <v>3523</v>
      </c>
      <c r="P203" s="29" t="s">
        <v>3524</v>
      </c>
      <c r="Q203" s="29" t="s">
        <v>3525</v>
      </c>
      <c r="R203" s="29" t="s">
        <v>3859</v>
      </c>
      <c r="S203" s="29" t="s">
        <v>3526</v>
      </c>
      <c r="T203" s="29" t="s">
        <v>4090</v>
      </c>
      <c r="U203" s="29" t="s">
        <v>3527</v>
      </c>
      <c r="V203" s="29" t="s">
        <v>3528</v>
      </c>
      <c r="W203" s="29" t="s">
        <v>3529</v>
      </c>
    </row>
    <row r="204" spans="1:23" x14ac:dyDescent="0.25">
      <c r="A204" s="29">
        <v>310</v>
      </c>
      <c r="B204" s="29" t="s">
        <v>3995</v>
      </c>
      <c r="C204" s="29" t="s">
        <v>3996</v>
      </c>
      <c r="D204" s="29" t="s">
        <v>3576</v>
      </c>
      <c r="E204" s="29" t="s">
        <v>1921</v>
      </c>
      <c r="F204" s="29" t="s">
        <v>3997</v>
      </c>
      <c r="G204" s="29" t="s">
        <v>3998</v>
      </c>
      <c r="H204" s="29" t="s">
        <v>3999</v>
      </c>
      <c r="I204" s="29" t="s">
        <v>4000</v>
      </c>
      <c r="J204" s="13" t="s">
        <v>4001</v>
      </c>
      <c r="K204" s="13" t="s">
        <v>4002</v>
      </c>
      <c r="L204" s="13" t="s">
        <v>4003</v>
      </c>
      <c r="M204" s="15" t="s">
        <v>4004</v>
      </c>
      <c r="N204" s="13" t="s">
        <v>4005</v>
      </c>
      <c r="O204" s="13" t="s">
        <v>4006</v>
      </c>
      <c r="P204" s="29" t="s">
        <v>4007</v>
      </c>
      <c r="Q204" s="29" t="s">
        <v>4008</v>
      </c>
      <c r="R204" s="29" t="s">
        <v>4009</v>
      </c>
      <c r="S204" s="29" t="s">
        <v>4010</v>
      </c>
      <c r="T204" s="29" t="s">
        <v>4091</v>
      </c>
      <c r="U204" s="29" t="s">
        <v>4092</v>
      </c>
      <c r="V204" s="29" t="s">
        <v>421</v>
      </c>
      <c r="W204" s="29" t="s">
        <v>375</v>
      </c>
    </row>
    <row r="205" spans="1:23" x14ac:dyDescent="0.25">
      <c r="A205" s="29">
        <v>194</v>
      </c>
      <c r="B205" s="29" t="s">
        <v>172</v>
      </c>
      <c r="C205" s="29" t="s">
        <v>2123</v>
      </c>
      <c r="D205" s="29" t="s">
        <v>3594</v>
      </c>
      <c r="E205" s="29" t="s">
        <v>1923</v>
      </c>
      <c r="F205" s="29" t="s">
        <v>3390</v>
      </c>
      <c r="G205" s="29" t="s">
        <v>3391</v>
      </c>
      <c r="H205" s="29" t="s">
        <v>3392</v>
      </c>
      <c r="I205" s="29" t="s">
        <v>3393</v>
      </c>
      <c r="J205" s="13" t="s">
        <v>3074</v>
      </c>
      <c r="K205" s="13" t="s">
        <v>1441</v>
      </c>
      <c r="L205" s="13" t="s">
        <v>2413</v>
      </c>
      <c r="M205" s="15" t="s">
        <v>3758</v>
      </c>
      <c r="N205" s="13" t="s">
        <v>1815</v>
      </c>
      <c r="O205" s="13" t="s">
        <v>1442</v>
      </c>
      <c r="P205" s="29" t="s">
        <v>3394</v>
      </c>
      <c r="Q205" s="29" t="s">
        <v>3395</v>
      </c>
      <c r="R205" s="29" t="s">
        <v>3396</v>
      </c>
      <c r="S205" s="29" t="s">
        <v>531</v>
      </c>
      <c r="T205" s="29" t="s">
        <v>4093</v>
      </c>
      <c r="U205" s="29" t="s">
        <v>4094</v>
      </c>
      <c r="V205" s="29" t="s">
        <v>524</v>
      </c>
      <c r="W205" s="29" t="s">
        <v>392</v>
      </c>
    </row>
    <row r="206" spans="1:23" x14ac:dyDescent="0.25">
      <c r="A206" s="29">
        <v>195</v>
      </c>
      <c r="B206" s="29" t="s">
        <v>558</v>
      </c>
      <c r="C206" s="29" t="s">
        <v>2124</v>
      </c>
      <c r="D206" s="29" t="s">
        <v>1712</v>
      </c>
      <c r="E206" s="29" t="s">
        <v>1712</v>
      </c>
      <c r="F206" s="29"/>
      <c r="G206" s="29"/>
      <c r="H206" s="29"/>
      <c r="I206" s="29"/>
      <c r="J206" s="13" t="s">
        <v>1667</v>
      </c>
      <c r="K206" s="13" t="s">
        <v>1667</v>
      </c>
      <c r="L206" s="13" t="s">
        <v>1667</v>
      </c>
      <c r="N206" s="13" t="s">
        <v>1816</v>
      </c>
      <c r="O206" s="13" t="s">
        <v>1443</v>
      </c>
      <c r="P206" s="29" t="s">
        <v>559</v>
      </c>
      <c r="Q206" s="29" t="s">
        <v>2612</v>
      </c>
      <c r="R206" s="29"/>
      <c r="S206" s="29" t="s">
        <v>714</v>
      </c>
      <c r="T206" s="29" t="s">
        <v>4042</v>
      </c>
      <c r="U206" s="29" t="s">
        <v>4043</v>
      </c>
      <c r="V206" s="29" t="s">
        <v>560</v>
      </c>
      <c r="W206" s="29" t="s">
        <v>375</v>
      </c>
    </row>
    <row r="207" spans="1:23" x14ac:dyDescent="0.25">
      <c r="A207" s="29">
        <v>196</v>
      </c>
      <c r="B207" s="29" t="s">
        <v>56</v>
      </c>
      <c r="C207" s="29" t="s">
        <v>2125</v>
      </c>
      <c r="D207" s="29" t="s">
        <v>1712</v>
      </c>
      <c r="E207" s="29" t="s">
        <v>1712</v>
      </c>
      <c r="F207" s="29"/>
      <c r="G207" s="29"/>
      <c r="H207" s="29"/>
      <c r="I207" s="29"/>
      <c r="J207" s="13" t="s">
        <v>3075</v>
      </c>
      <c r="K207" s="13" t="s">
        <v>1444</v>
      </c>
      <c r="L207" s="13" t="s">
        <v>2414</v>
      </c>
      <c r="M207" s="15" t="s">
        <v>3759</v>
      </c>
      <c r="N207" s="13" t="s">
        <v>1817</v>
      </c>
      <c r="O207" s="13" t="s">
        <v>1445</v>
      </c>
      <c r="P207" s="29" t="s">
        <v>771</v>
      </c>
      <c r="Q207" s="29" t="s">
        <v>2613</v>
      </c>
      <c r="R207" s="29"/>
      <c r="S207" s="29" t="s">
        <v>492</v>
      </c>
      <c r="T207" s="29" t="s">
        <v>231</v>
      </c>
      <c r="U207" s="29" t="s">
        <v>2717</v>
      </c>
      <c r="V207" s="29" t="s">
        <v>466</v>
      </c>
      <c r="W207" s="29" t="s">
        <v>385</v>
      </c>
    </row>
    <row r="208" spans="1:23" x14ac:dyDescent="0.25">
      <c r="A208" s="29">
        <v>197</v>
      </c>
      <c r="B208" s="29" t="s">
        <v>147</v>
      </c>
      <c r="C208" s="29" t="s">
        <v>2126</v>
      </c>
      <c r="D208" s="29" t="s">
        <v>1712</v>
      </c>
      <c r="E208" s="29" t="s">
        <v>1712</v>
      </c>
      <c r="F208" s="29"/>
      <c r="G208" s="29"/>
      <c r="H208" s="29"/>
      <c r="I208" s="29"/>
      <c r="J208" s="13" t="s">
        <v>3076</v>
      </c>
      <c r="K208" s="13" t="s">
        <v>1446</v>
      </c>
      <c r="L208" s="13" t="s">
        <v>2415</v>
      </c>
      <c r="M208" s="15" t="s">
        <v>3760</v>
      </c>
      <c r="N208" s="13" t="s">
        <v>1818</v>
      </c>
      <c r="O208" s="13" t="s">
        <v>1447</v>
      </c>
      <c r="P208" s="29"/>
      <c r="Q208" s="29"/>
      <c r="R208" s="29"/>
      <c r="S208" s="29" t="s">
        <v>967</v>
      </c>
      <c r="T208" s="29" t="s">
        <v>328</v>
      </c>
      <c r="U208" s="29" t="s">
        <v>2786</v>
      </c>
      <c r="V208" s="29" t="s">
        <v>905</v>
      </c>
      <c r="W208" s="29" t="s">
        <v>904</v>
      </c>
    </row>
    <row r="209" spans="1:23" x14ac:dyDescent="0.25">
      <c r="A209" s="29">
        <v>198</v>
      </c>
      <c r="B209" s="29" t="s">
        <v>561</v>
      </c>
      <c r="C209" s="29" t="s">
        <v>2127</v>
      </c>
      <c r="D209" s="29" t="s">
        <v>1712</v>
      </c>
      <c r="E209" s="29" t="s">
        <v>1712</v>
      </c>
      <c r="F209" s="29"/>
      <c r="G209" s="29"/>
      <c r="H209" s="29"/>
      <c r="I209" s="29"/>
      <c r="J209" s="13" t="s">
        <v>3077</v>
      </c>
      <c r="K209" s="13" t="s">
        <v>1448</v>
      </c>
      <c r="L209" s="13" t="s">
        <v>2416</v>
      </c>
      <c r="M209" s="15" t="s">
        <v>3761</v>
      </c>
      <c r="N209" s="13" t="s">
        <v>1819</v>
      </c>
      <c r="O209" s="13" t="s">
        <v>1449</v>
      </c>
      <c r="P209" s="29"/>
      <c r="Q209" s="29"/>
      <c r="R209" s="29"/>
      <c r="S209" s="29" t="s">
        <v>562</v>
      </c>
      <c r="T209" s="29" t="s">
        <v>4095</v>
      </c>
      <c r="U209" s="29" t="s">
        <v>4096</v>
      </c>
      <c r="V209" s="29" t="s">
        <v>449</v>
      </c>
      <c r="W209" s="29" t="s">
        <v>384</v>
      </c>
    </row>
    <row r="210" spans="1:23" x14ac:dyDescent="0.25">
      <c r="A210" s="29">
        <v>199</v>
      </c>
      <c r="B210" s="29" t="s">
        <v>581</v>
      </c>
      <c r="C210" s="29" t="s">
        <v>2128</v>
      </c>
      <c r="D210" s="29" t="s">
        <v>1712</v>
      </c>
      <c r="E210" s="29" t="s">
        <v>1712</v>
      </c>
      <c r="F210" s="29"/>
      <c r="G210" s="29"/>
      <c r="H210" s="29"/>
      <c r="I210" s="29"/>
      <c r="J210" s="13" t="s">
        <v>3078</v>
      </c>
      <c r="K210" s="13" t="s">
        <v>1450</v>
      </c>
      <c r="L210" s="13" t="s">
        <v>2417</v>
      </c>
      <c r="M210" s="15" t="s">
        <v>3762</v>
      </c>
      <c r="N210" s="13" t="s">
        <v>1820</v>
      </c>
      <c r="O210" s="13" t="s">
        <v>1451</v>
      </c>
      <c r="P210" s="29" t="s">
        <v>582</v>
      </c>
      <c r="Q210" s="29" t="s">
        <v>2614</v>
      </c>
      <c r="R210" s="29"/>
      <c r="S210" s="29" t="s">
        <v>583</v>
      </c>
      <c r="T210" s="29" t="s">
        <v>242</v>
      </c>
      <c r="U210" s="29" t="s">
        <v>2787</v>
      </c>
      <c r="V210" s="29" t="s">
        <v>421</v>
      </c>
      <c r="W210" s="29" t="s">
        <v>375</v>
      </c>
    </row>
    <row r="211" spans="1:23" x14ac:dyDescent="0.25">
      <c r="A211" s="29">
        <v>200</v>
      </c>
      <c r="B211" s="29" t="s">
        <v>71</v>
      </c>
      <c r="C211" s="29" t="s">
        <v>2129</v>
      </c>
      <c r="D211" s="29" t="s">
        <v>1712</v>
      </c>
      <c r="E211" s="29" t="s">
        <v>1712</v>
      </c>
      <c r="F211" s="29"/>
      <c r="G211" s="29"/>
      <c r="H211" s="29"/>
      <c r="I211" s="29"/>
      <c r="J211" s="13" t="s">
        <v>3079</v>
      </c>
      <c r="K211" s="13" t="s">
        <v>1452</v>
      </c>
      <c r="L211" s="13" t="s">
        <v>2418</v>
      </c>
      <c r="M211" s="15" t="s">
        <v>3763</v>
      </c>
      <c r="N211" s="13" t="s">
        <v>1821</v>
      </c>
      <c r="O211" s="13" t="s">
        <v>1453</v>
      </c>
      <c r="P211" s="29" t="s">
        <v>796</v>
      </c>
      <c r="Q211" s="29" t="s">
        <v>2615</v>
      </c>
      <c r="R211" s="29"/>
      <c r="S211" s="29" t="s">
        <v>797</v>
      </c>
      <c r="T211" s="29" t="s">
        <v>275</v>
      </c>
      <c r="U211" s="29" t="s">
        <v>2788</v>
      </c>
      <c r="V211" s="29" t="s">
        <v>699</v>
      </c>
      <c r="W211" s="29" t="s">
        <v>717</v>
      </c>
    </row>
    <row r="212" spans="1:23" x14ac:dyDescent="0.25">
      <c r="A212" s="29">
        <v>201</v>
      </c>
      <c r="B212" s="29" t="s">
        <v>158</v>
      </c>
      <c r="C212" s="29" t="s">
        <v>2130</v>
      </c>
      <c r="D212" s="29" t="s">
        <v>1712</v>
      </c>
      <c r="E212" s="29" t="s">
        <v>1712</v>
      </c>
      <c r="F212" s="29"/>
      <c r="G212" s="29"/>
      <c r="H212" s="29"/>
      <c r="I212" s="29"/>
      <c r="J212" s="13" t="s">
        <v>3080</v>
      </c>
      <c r="K212" s="13" t="s">
        <v>1454</v>
      </c>
      <c r="L212" s="13" t="s">
        <v>2419</v>
      </c>
      <c r="M212" s="15" t="s">
        <v>3764</v>
      </c>
      <c r="N212" s="13" t="s">
        <v>1667</v>
      </c>
      <c r="O212" s="13" t="s">
        <v>1455</v>
      </c>
      <c r="P212" s="29"/>
      <c r="Q212" s="29"/>
      <c r="R212" s="29"/>
      <c r="S212" s="29" t="s">
        <v>978</v>
      </c>
      <c r="T212" s="29" t="s">
        <v>335</v>
      </c>
      <c r="U212" s="29" t="s">
        <v>2789</v>
      </c>
      <c r="V212" s="29" t="s">
        <v>528</v>
      </c>
      <c r="W212" s="29" t="s">
        <v>393</v>
      </c>
    </row>
    <row r="213" spans="1:23" x14ac:dyDescent="0.25">
      <c r="A213" s="29">
        <v>202</v>
      </c>
      <c r="B213" s="29" t="s">
        <v>151</v>
      </c>
      <c r="C213" s="29" t="s">
        <v>2131</v>
      </c>
      <c r="D213" s="29" t="s">
        <v>3563</v>
      </c>
      <c r="E213" s="29" t="s">
        <v>1923</v>
      </c>
      <c r="F213" s="29"/>
      <c r="G213" s="29"/>
      <c r="H213" s="29"/>
      <c r="I213" s="29"/>
      <c r="J213" s="13" t="s">
        <v>3081</v>
      </c>
      <c r="K213" s="13" t="s">
        <v>1456</v>
      </c>
      <c r="L213" s="13" t="s">
        <v>2420</v>
      </c>
      <c r="M213" s="15" t="s">
        <v>3765</v>
      </c>
      <c r="N213" s="13" t="s">
        <v>1822</v>
      </c>
      <c r="O213" s="13" t="s">
        <v>1457</v>
      </c>
      <c r="P213" s="29"/>
      <c r="Q213" s="29"/>
      <c r="R213" s="29"/>
      <c r="S213" s="29" t="s">
        <v>972</v>
      </c>
      <c r="T213" s="29" t="s">
        <v>4097</v>
      </c>
      <c r="U213" s="29" t="s">
        <v>4098</v>
      </c>
      <c r="V213" s="29" t="s">
        <v>528</v>
      </c>
      <c r="W213" s="29" t="s">
        <v>393</v>
      </c>
    </row>
    <row r="214" spans="1:23" x14ac:dyDescent="0.25">
      <c r="A214" s="29">
        <v>203</v>
      </c>
      <c r="B214" s="29" t="s">
        <v>220</v>
      </c>
      <c r="C214" s="29" t="s">
        <v>2132</v>
      </c>
      <c r="D214" s="29" t="s">
        <v>3572</v>
      </c>
      <c r="E214" s="29" t="s">
        <v>1922</v>
      </c>
      <c r="F214" s="29" t="s">
        <v>3397</v>
      </c>
      <c r="G214" s="29" t="s">
        <v>3398</v>
      </c>
      <c r="H214" s="29" t="s">
        <v>3399</v>
      </c>
      <c r="I214" s="29" t="s">
        <v>3400</v>
      </c>
      <c r="J214" s="13" t="s">
        <v>3175</v>
      </c>
      <c r="K214" s="13" t="s">
        <v>1458</v>
      </c>
      <c r="L214" s="13" t="s">
        <v>2421</v>
      </c>
      <c r="M214" s="15" t="s">
        <v>3766</v>
      </c>
      <c r="N214" s="13" t="s">
        <v>1823</v>
      </c>
      <c r="O214" s="13" t="s">
        <v>1459</v>
      </c>
      <c r="P214" s="29" t="s">
        <v>3401</v>
      </c>
      <c r="Q214" s="29" t="s">
        <v>3402</v>
      </c>
      <c r="R214" s="29" t="s">
        <v>3767</v>
      </c>
      <c r="S214" s="29" t="s">
        <v>609</v>
      </c>
      <c r="T214" s="29" t="s">
        <v>4099</v>
      </c>
      <c r="U214" s="29" t="s">
        <v>4100</v>
      </c>
      <c r="V214" s="29" t="s">
        <v>445</v>
      </c>
      <c r="W214" s="29" t="s">
        <v>3768</v>
      </c>
    </row>
    <row r="215" spans="1:23" x14ac:dyDescent="0.25">
      <c r="A215" s="29">
        <v>317</v>
      </c>
      <c r="B215" s="29" t="s">
        <v>4282</v>
      </c>
      <c r="C215" s="29" t="s">
        <v>4283</v>
      </c>
      <c r="D215" s="29" t="s">
        <v>3572</v>
      </c>
      <c r="E215" s="29" t="s">
        <v>1922</v>
      </c>
      <c r="F215" s="29" t="s">
        <v>4284</v>
      </c>
      <c r="G215" s="29" t="s">
        <v>4285</v>
      </c>
      <c r="H215" s="29" t="s">
        <v>4286</v>
      </c>
      <c r="I215" s="29" t="s">
        <v>4287</v>
      </c>
      <c r="J215" s="13" t="s">
        <v>4288</v>
      </c>
      <c r="K215" s="13" t="s">
        <v>4289</v>
      </c>
      <c r="L215" s="13" t="s">
        <v>4290</v>
      </c>
      <c r="M215" s="15" t="s">
        <v>4291</v>
      </c>
      <c r="N215" s="13" t="s">
        <v>4292</v>
      </c>
      <c r="O215" s="13" t="s">
        <v>4293</v>
      </c>
      <c r="P215" s="29" t="s">
        <v>4294</v>
      </c>
      <c r="Q215" s="29" t="s">
        <v>4295</v>
      </c>
      <c r="R215" s="29" t="s">
        <v>4296</v>
      </c>
      <c r="S215" s="29" t="s">
        <v>4297</v>
      </c>
      <c r="T215" s="29" t="s">
        <v>4298</v>
      </c>
      <c r="U215" s="29" t="s">
        <v>4299</v>
      </c>
      <c r="V215" s="29" t="s">
        <v>4300</v>
      </c>
      <c r="W215" s="29" t="s">
        <v>4301</v>
      </c>
    </row>
    <row r="216" spans="1:23" x14ac:dyDescent="0.25">
      <c r="A216" s="29">
        <v>204</v>
      </c>
      <c r="B216" s="29" t="s">
        <v>202</v>
      </c>
      <c r="C216" s="29" t="s">
        <v>2133</v>
      </c>
      <c r="D216" s="29" t="s">
        <v>1712</v>
      </c>
      <c r="E216" s="29" t="s">
        <v>1712</v>
      </c>
      <c r="F216" s="29"/>
      <c r="G216" s="29"/>
      <c r="H216" s="29"/>
      <c r="I216" s="29"/>
      <c r="J216" s="13" t="s">
        <v>3082</v>
      </c>
      <c r="K216" s="13" t="s">
        <v>1460</v>
      </c>
      <c r="L216" s="13" t="s">
        <v>2422</v>
      </c>
      <c r="M216" s="15" t="s">
        <v>3769</v>
      </c>
      <c r="N216" s="13" t="s">
        <v>1824</v>
      </c>
      <c r="O216" s="13" t="s">
        <v>1461</v>
      </c>
      <c r="P216" s="29"/>
      <c r="Q216" s="29"/>
      <c r="R216" s="29"/>
      <c r="S216" s="29" t="s">
        <v>1028</v>
      </c>
      <c r="T216" s="29" t="s">
        <v>356</v>
      </c>
      <c r="U216" s="29" t="s">
        <v>2790</v>
      </c>
      <c r="V216" s="29" t="s">
        <v>1029</v>
      </c>
      <c r="W216" s="29" t="s">
        <v>1027</v>
      </c>
    </row>
    <row r="217" spans="1:23" x14ac:dyDescent="0.25">
      <c r="A217" s="29">
        <v>205</v>
      </c>
      <c r="B217" s="29" t="s">
        <v>53</v>
      </c>
      <c r="C217" s="29" t="s">
        <v>2134</v>
      </c>
      <c r="D217" s="29" t="s">
        <v>1712</v>
      </c>
      <c r="E217" s="29" t="s">
        <v>1712</v>
      </c>
      <c r="F217" s="29"/>
      <c r="G217" s="29"/>
      <c r="H217" s="29"/>
      <c r="I217" s="29"/>
      <c r="J217" s="13" t="s">
        <v>3083</v>
      </c>
      <c r="K217" s="13" t="s">
        <v>1462</v>
      </c>
      <c r="L217" s="13" t="s">
        <v>2423</v>
      </c>
      <c r="M217" s="15" t="s">
        <v>3668</v>
      </c>
      <c r="N217" s="13" t="s">
        <v>1825</v>
      </c>
      <c r="O217" s="13" t="s">
        <v>1463</v>
      </c>
      <c r="P217" s="29" t="s">
        <v>764</v>
      </c>
      <c r="Q217" s="29" t="s">
        <v>2616</v>
      </c>
      <c r="R217" s="29"/>
      <c r="S217" s="29" t="s">
        <v>765</v>
      </c>
      <c r="T217" s="29" t="s">
        <v>2665</v>
      </c>
      <c r="U217" s="29" t="s">
        <v>3248</v>
      </c>
      <c r="V217" s="29" t="s">
        <v>421</v>
      </c>
      <c r="W217" s="29" t="s">
        <v>375</v>
      </c>
    </row>
    <row r="218" spans="1:23" x14ac:dyDescent="0.25">
      <c r="A218" s="29">
        <v>206</v>
      </c>
      <c r="B218" s="29" t="s">
        <v>97</v>
      </c>
      <c r="C218" s="29" t="s">
        <v>2135</v>
      </c>
      <c r="D218" s="29" t="s">
        <v>1712</v>
      </c>
      <c r="E218" s="29" t="s">
        <v>1712</v>
      </c>
      <c r="F218" s="29"/>
      <c r="G218" s="29"/>
      <c r="H218" s="29"/>
      <c r="I218" s="29"/>
      <c r="J218" s="13" t="s">
        <v>3084</v>
      </c>
      <c r="K218" s="13" t="s">
        <v>1464</v>
      </c>
      <c r="L218" s="13" t="s">
        <v>2424</v>
      </c>
      <c r="M218" s="15" t="s">
        <v>3770</v>
      </c>
      <c r="N218" s="13" t="s">
        <v>1826</v>
      </c>
      <c r="O218" s="13" t="s">
        <v>1465</v>
      </c>
      <c r="P218" s="29" t="s">
        <v>858</v>
      </c>
      <c r="Q218" s="29" t="s">
        <v>2617</v>
      </c>
      <c r="R218" s="29"/>
      <c r="S218" s="29" t="s">
        <v>859</v>
      </c>
      <c r="T218" s="29" t="s">
        <v>292</v>
      </c>
      <c r="U218" s="29" t="s">
        <v>2791</v>
      </c>
      <c r="V218" s="29" t="s">
        <v>418</v>
      </c>
      <c r="W218" s="29" t="s">
        <v>377</v>
      </c>
    </row>
    <row r="219" spans="1:23" x14ac:dyDescent="0.25">
      <c r="A219" s="29">
        <v>207</v>
      </c>
      <c r="B219" s="29" t="s">
        <v>638</v>
      </c>
      <c r="C219" s="29" t="s">
        <v>2136</v>
      </c>
      <c r="D219" s="29" t="s">
        <v>1712</v>
      </c>
      <c r="E219" s="29" t="s">
        <v>1712</v>
      </c>
      <c r="F219" s="29"/>
      <c r="G219" s="29"/>
      <c r="H219" s="29"/>
      <c r="I219" s="29"/>
      <c r="J219" s="13" t="s">
        <v>3085</v>
      </c>
      <c r="K219" s="13" t="s">
        <v>1466</v>
      </c>
      <c r="L219" s="13" t="s">
        <v>2425</v>
      </c>
      <c r="M219" s="15" t="s">
        <v>3771</v>
      </c>
      <c r="N219" s="13" t="s">
        <v>1827</v>
      </c>
      <c r="O219" s="13" t="s">
        <v>1467</v>
      </c>
      <c r="P219" s="29"/>
      <c r="Q219" s="29"/>
      <c r="R219" s="29"/>
      <c r="S219" s="29" t="s">
        <v>492</v>
      </c>
      <c r="T219" s="29" t="s">
        <v>248</v>
      </c>
      <c r="U219" s="29" t="s">
        <v>2779</v>
      </c>
      <c r="V219" s="29" t="s">
        <v>466</v>
      </c>
      <c r="W219" s="29" t="s">
        <v>385</v>
      </c>
    </row>
    <row r="220" spans="1:23" x14ac:dyDescent="0.25">
      <c r="A220" s="29">
        <v>208</v>
      </c>
      <c r="B220" s="29" t="s">
        <v>530</v>
      </c>
      <c r="C220" s="29" t="s">
        <v>2137</v>
      </c>
      <c r="D220" s="29" t="s">
        <v>3563</v>
      </c>
      <c r="E220" s="29" t="s">
        <v>1923</v>
      </c>
      <c r="F220" s="29"/>
      <c r="G220" s="29"/>
      <c r="H220" s="29"/>
      <c r="I220" s="29"/>
      <c r="J220" s="13" t="s">
        <v>3086</v>
      </c>
      <c r="K220" s="13" t="s">
        <v>1468</v>
      </c>
      <c r="L220" s="13" t="s">
        <v>2426</v>
      </c>
      <c r="M220" s="15" t="s">
        <v>3772</v>
      </c>
      <c r="N220" s="13" t="s">
        <v>1828</v>
      </c>
      <c r="O220" s="13" t="s">
        <v>1469</v>
      </c>
      <c r="P220" s="29"/>
      <c r="Q220" s="29"/>
      <c r="R220" s="29"/>
      <c r="S220" s="29" t="s">
        <v>492</v>
      </c>
      <c r="T220" s="29" t="s">
        <v>231</v>
      </c>
      <c r="U220" s="29" t="s">
        <v>2717</v>
      </c>
      <c r="V220" s="29" t="s">
        <v>466</v>
      </c>
      <c r="W220" s="29" t="s">
        <v>385</v>
      </c>
    </row>
    <row r="221" spans="1:23" x14ac:dyDescent="0.25">
      <c r="A221" s="29">
        <v>209</v>
      </c>
      <c r="B221" s="29" t="s">
        <v>1067</v>
      </c>
      <c r="C221" s="29" t="s">
        <v>2138</v>
      </c>
      <c r="D221" s="29" t="s">
        <v>3600</v>
      </c>
      <c r="E221" s="29" t="s">
        <v>1922</v>
      </c>
      <c r="F221" s="29"/>
      <c r="G221" s="29"/>
      <c r="H221" s="29"/>
      <c r="I221" s="29"/>
      <c r="J221" s="13" t="s">
        <v>3087</v>
      </c>
      <c r="K221" s="13" t="s">
        <v>1470</v>
      </c>
      <c r="L221" s="13" t="s">
        <v>2427</v>
      </c>
      <c r="M221" s="15" t="s">
        <v>3773</v>
      </c>
      <c r="N221" s="13" t="s">
        <v>1829</v>
      </c>
      <c r="O221" s="13" t="s">
        <v>1471</v>
      </c>
      <c r="P221" s="29"/>
      <c r="Q221" s="29"/>
      <c r="R221" s="29"/>
      <c r="S221" s="29" t="s">
        <v>998</v>
      </c>
      <c r="T221" s="29" t="s">
        <v>345</v>
      </c>
      <c r="U221" s="29" t="s">
        <v>2792</v>
      </c>
      <c r="V221" s="29" t="s">
        <v>560</v>
      </c>
      <c r="W221" s="29" t="s">
        <v>375</v>
      </c>
    </row>
    <row r="222" spans="1:23" x14ac:dyDescent="0.25">
      <c r="A222" s="29">
        <v>210</v>
      </c>
      <c r="B222" s="29" t="s">
        <v>216</v>
      </c>
      <c r="C222" s="29" t="s">
        <v>2139</v>
      </c>
      <c r="D222" s="29" t="s">
        <v>3600</v>
      </c>
      <c r="E222" s="29" t="s">
        <v>1922</v>
      </c>
      <c r="F222" s="29" t="s">
        <v>3295</v>
      </c>
      <c r="G222" s="29" t="s">
        <v>3403</v>
      </c>
      <c r="H222" s="29" t="s">
        <v>3404</v>
      </c>
      <c r="I222" s="29" t="s">
        <v>3405</v>
      </c>
      <c r="J222" s="13" t="s">
        <v>3088</v>
      </c>
      <c r="K222" s="13" t="s">
        <v>1285</v>
      </c>
      <c r="L222" s="13" t="s">
        <v>2339</v>
      </c>
      <c r="M222" s="15" t="s">
        <v>3774</v>
      </c>
      <c r="N222" s="13" t="s">
        <v>1830</v>
      </c>
      <c r="O222" s="13" t="s">
        <v>1472</v>
      </c>
      <c r="P222" s="29" t="s">
        <v>3406</v>
      </c>
      <c r="Q222" s="29" t="s">
        <v>3407</v>
      </c>
      <c r="R222" s="29" t="s">
        <v>3408</v>
      </c>
      <c r="S222" s="29" t="s">
        <v>1046</v>
      </c>
      <c r="T222" s="29" t="s">
        <v>368</v>
      </c>
      <c r="U222" s="29" t="s">
        <v>3409</v>
      </c>
      <c r="V222" s="29" t="s">
        <v>421</v>
      </c>
      <c r="W222" s="29" t="s">
        <v>375</v>
      </c>
    </row>
    <row r="223" spans="1:23" x14ac:dyDescent="0.25">
      <c r="A223" s="29">
        <v>211</v>
      </c>
      <c r="B223" s="29" t="s">
        <v>692</v>
      </c>
      <c r="C223" s="29" t="s">
        <v>2140</v>
      </c>
      <c r="D223" s="29" t="s">
        <v>1712</v>
      </c>
      <c r="E223" s="29" t="s">
        <v>1712</v>
      </c>
      <c r="F223" s="29"/>
      <c r="G223" s="29"/>
      <c r="H223" s="29"/>
      <c r="I223" s="29"/>
      <c r="J223" s="13" t="s">
        <v>3089</v>
      </c>
      <c r="K223" s="13" t="s">
        <v>1473</v>
      </c>
      <c r="L223" s="13" t="s">
        <v>2428</v>
      </c>
      <c r="M223" s="15" t="s">
        <v>3775</v>
      </c>
      <c r="N223" s="13" t="s">
        <v>1831</v>
      </c>
      <c r="O223" s="13" t="s">
        <v>1474</v>
      </c>
      <c r="P223" s="29" t="s">
        <v>693</v>
      </c>
      <c r="Q223" s="29" t="s">
        <v>2618</v>
      </c>
      <c r="R223" s="29"/>
      <c r="S223" s="29" t="s">
        <v>694</v>
      </c>
      <c r="T223" s="29" t="s">
        <v>2674</v>
      </c>
      <c r="U223" s="29" t="s">
        <v>2793</v>
      </c>
      <c r="V223" s="29" t="s">
        <v>421</v>
      </c>
      <c r="W223" s="29" t="s">
        <v>375</v>
      </c>
    </row>
    <row r="224" spans="1:23" x14ac:dyDescent="0.25">
      <c r="A224" s="29">
        <v>212</v>
      </c>
      <c r="B224" s="29" t="s">
        <v>506</v>
      </c>
      <c r="C224" s="29" t="s">
        <v>2141</v>
      </c>
      <c r="D224" s="29" t="s">
        <v>1712</v>
      </c>
      <c r="E224" s="29" t="s">
        <v>1712</v>
      </c>
      <c r="F224" s="29"/>
      <c r="G224" s="29"/>
      <c r="H224" s="29"/>
      <c r="I224" s="29"/>
      <c r="J224" s="13" t="s">
        <v>3090</v>
      </c>
      <c r="K224" s="13" t="s">
        <v>1475</v>
      </c>
      <c r="L224" s="13" t="s">
        <v>2429</v>
      </c>
      <c r="M224" s="15" t="s">
        <v>3776</v>
      </c>
      <c r="N224" s="13" t="s">
        <v>1832</v>
      </c>
      <c r="O224" s="13" t="s">
        <v>1476</v>
      </c>
      <c r="P224" s="29" t="s">
        <v>689</v>
      </c>
      <c r="Q224" s="29" t="s">
        <v>2619</v>
      </c>
      <c r="R224" s="29"/>
      <c r="S224" s="29" t="s">
        <v>690</v>
      </c>
      <c r="T224" s="29" t="s">
        <v>257</v>
      </c>
      <c r="U224" s="29" t="s">
        <v>2794</v>
      </c>
      <c r="V224" s="29" t="s">
        <v>528</v>
      </c>
      <c r="W224" s="29" t="s">
        <v>393</v>
      </c>
    </row>
    <row r="225" spans="1:23" x14ac:dyDescent="0.25">
      <c r="A225" s="29">
        <v>213</v>
      </c>
      <c r="B225" s="29" t="s">
        <v>89</v>
      </c>
      <c r="C225" s="29" t="s">
        <v>2142</v>
      </c>
      <c r="D225" s="29" t="s">
        <v>1712</v>
      </c>
      <c r="E225" s="29" t="s">
        <v>1712</v>
      </c>
      <c r="F225" s="29"/>
      <c r="G225" s="29"/>
      <c r="H225" s="29"/>
      <c r="I225" s="29"/>
      <c r="J225" s="13" t="s">
        <v>3091</v>
      </c>
      <c r="K225" s="13" t="s">
        <v>1477</v>
      </c>
      <c r="L225" s="13" t="s">
        <v>2430</v>
      </c>
      <c r="M225" s="15" t="s">
        <v>3777</v>
      </c>
      <c r="N225" s="13" t="s">
        <v>1833</v>
      </c>
      <c r="O225" s="13" t="s">
        <v>1478</v>
      </c>
      <c r="P225" s="29" t="s">
        <v>840</v>
      </c>
      <c r="Q225" s="29" t="s">
        <v>2620</v>
      </c>
      <c r="R225" s="29"/>
      <c r="S225" s="29" t="s">
        <v>841</v>
      </c>
      <c r="T225" s="29" t="s">
        <v>287</v>
      </c>
      <c r="U225" s="29" t="s">
        <v>2795</v>
      </c>
      <c r="V225" s="29" t="s">
        <v>699</v>
      </c>
      <c r="W225" s="29" t="s">
        <v>717</v>
      </c>
    </row>
    <row r="226" spans="1:23" x14ac:dyDescent="0.25">
      <c r="A226" s="29">
        <v>214</v>
      </c>
      <c r="B226" s="29" t="s">
        <v>135</v>
      </c>
      <c r="C226" s="29" t="s">
        <v>2143</v>
      </c>
      <c r="D226" s="29" t="s">
        <v>1712</v>
      </c>
      <c r="E226" s="29" t="s">
        <v>1712</v>
      </c>
      <c r="F226" s="29"/>
      <c r="G226" s="29"/>
      <c r="H226" s="29"/>
      <c r="I226" s="29"/>
      <c r="J226" s="13" t="s">
        <v>3092</v>
      </c>
      <c r="K226" s="13" t="s">
        <v>1479</v>
      </c>
      <c r="L226" s="13" t="s">
        <v>2431</v>
      </c>
      <c r="M226" s="15" t="s">
        <v>3778</v>
      </c>
      <c r="N226" s="13" t="s">
        <v>1834</v>
      </c>
      <c r="O226" s="13" t="s">
        <v>1480</v>
      </c>
      <c r="P226" s="29" t="s">
        <v>946</v>
      </c>
      <c r="Q226" s="29" t="s">
        <v>2621</v>
      </c>
      <c r="R226" s="29"/>
      <c r="S226" s="29" t="s">
        <v>947</v>
      </c>
      <c r="T226" s="29" t="s">
        <v>4101</v>
      </c>
      <c r="U226" s="29" t="s">
        <v>4102</v>
      </c>
      <c r="V226" s="29" t="s">
        <v>418</v>
      </c>
      <c r="W226" s="29" t="s">
        <v>377</v>
      </c>
    </row>
    <row r="227" spans="1:23" x14ac:dyDescent="0.25">
      <c r="A227" s="29">
        <v>215</v>
      </c>
      <c r="B227" s="29" t="s">
        <v>598</v>
      </c>
      <c r="C227" s="29" t="s">
        <v>2144</v>
      </c>
      <c r="D227" s="29" t="s">
        <v>1712</v>
      </c>
      <c r="E227" s="29" t="s">
        <v>1712</v>
      </c>
      <c r="F227" s="29"/>
      <c r="G227" s="29"/>
      <c r="H227" s="29"/>
      <c r="I227" s="29"/>
      <c r="J227" s="13" t="s">
        <v>3093</v>
      </c>
      <c r="K227" s="13" t="s">
        <v>1481</v>
      </c>
      <c r="L227" s="13" t="s">
        <v>2432</v>
      </c>
      <c r="M227" s="15" t="s">
        <v>3779</v>
      </c>
      <c r="N227" s="13" t="s">
        <v>1835</v>
      </c>
      <c r="O227" s="13" t="s">
        <v>1482</v>
      </c>
      <c r="P227" s="29"/>
      <c r="Q227" s="29"/>
      <c r="R227" s="29"/>
      <c r="S227" s="29" t="s">
        <v>599</v>
      </c>
      <c r="T227" s="29" t="s">
        <v>367</v>
      </c>
      <c r="U227" s="29" t="s">
        <v>2688</v>
      </c>
      <c r="V227" s="29" t="s">
        <v>418</v>
      </c>
      <c r="W227" s="29" t="s">
        <v>377</v>
      </c>
    </row>
    <row r="228" spans="1:23" x14ac:dyDescent="0.25">
      <c r="A228" s="29">
        <v>216</v>
      </c>
      <c r="B228" s="29" t="s">
        <v>212</v>
      </c>
      <c r="C228" s="29" t="s">
        <v>2145</v>
      </c>
      <c r="D228" s="29" t="s">
        <v>1712</v>
      </c>
      <c r="E228" s="29" t="s">
        <v>1712</v>
      </c>
      <c r="F228" s="29"/>
      <c r="G228" s="29"/>
      <c r="H228" s="29"/>
      <c r="I228" s="29"/>
      <c r="J228" s="13" t="s">
        <v>3094</v>
      </c>
      <c r="K228" s="13" t="s">
        <v>1483</v>
      </c>
      <c r="L228" s="13" t="s">
        <v>2433</v>
      </c>
      <c r="M228" s="15" t="s">
        <v>3780</v>
      </c>
      <c r="N228" s="13" t="s">
        <v>1836</v>
      </c>
      <c r="O228" s="13" t="s">
        <v>1484</v>
      </c>
      <c r="P228" s="29"/>
      <c r="Q228" s="29"/>
      <c r="R228" s="29"/>
      <c r="S228" s="29" t="s">
        <v>1041</v>
      </c>
      <c r="T228" s="29" t="s">
        <v>4103</v>
      </c>
      <c r="U228" s="29" t="s">
        <v>4104</v>
      </c>
      <c r="V228" s="29" t="s">
        <v>432</v>
      </c>
      <c r="W228" s="29" t="s">
        <v>379</v>
      </c>
    </row>
    <row r="229" spans="1:23" x14ac:dyDescent="0.25">
      <c r="A229" s="29">
        <v>217</v>
      </c>
      <c r="B229" s="29" t="s">
        <v>198</v>
      </c>
      <c r="C229" s="29" t="s">
        <v>2146</v>
      </c>
      <c r="D229" s="29" t="s">
        <v>3566</v>
      </c>
      <c r="E229" s="29" t="s">
        <v>1921</v>
      </c>
      <c r="F229" s="29" t="s">
        <v>3290</v>
      </c>
      <c r="G229" s="29" t="s">
        <v>3239</v>
      </c>
      <c r="H229" s="29" t="s">
        <v>3410</v>
      </c>
      <c r="I229" s="29" t="s">
        <v>3411</v>
      </c>
      <c r="J229" s="13" t="s">
        <v>3095</v>
      </c>
      <c r="K229" s="13" t="s">
        <v>1485</v>
      </c>
      <c r="L229" s="13" t="s">
        <v>2434</v>
      </c>
      <c r="M229" s="15" t="s">
        <v>3781</v>
      </c>
      <c r="N229" s="13" t="s">
        <v>1837</v>
      </c>
      <c r="O229" s="13" t="s">
        <v>1486</v>
      </c>
      <c r="P229" s="29" t="s">
        <v>3412</v>
      </c>
      <c r="Q229" s="29" t="s">
        <v>3413</v>
      </c>
      <c r="R229" s="29" t="s">
        <v>3414</v>
      </c>
      <c r="S229" s="29" t="s">
        <v>1024</v>
      </c>
      <c r="T229" s="29" t="s">
        <v>333</v>
      </c>
      <c r="U229" s="29" t="s">
        <v>2680</v>
      </c>
      <c r="V229" s="29" t="s">
        <v>418</v>
      </c>
      <c r="W229" s="29" t="s">
        <v>377</v>
      </c>
    </row>
    <row r="230" spans="1:23" x14ac:dyDescent="0.25">
      <c r="A230" s="29">
        <v>218</v>
      </c>
      <c r="B230" s="29" t="s">
        <v>214</v>
      </c>
      <c r="C230" s="29" t="s">
        <v>2147</v>
      </c>
      <c r="D230" s="29" t="s">
        <v>1712</v>
      </c>
      <c r="E230" s="29" t="s">
        <v>1712</v>
      </c>
      <c r="F230" s="29"/>
      <c r="G230" s="29"/>
      <c r="H230" s="29" t="s">
        <v>3411</v>
      </c>
      <c r="I230" s="29"/>
      <c r="J230" s="13" t="s">
        <v>3096</v>
      </c>
      <c r="K230" s="13" t="s">
        <v>1487</v>
      </c>
      <c r="L230" s="13" t="s">
        <v>2435</v>
      </c>
      <c r="M230" s="15" t="s">
        <v>3782</v>
      </c>
      <c r="N230" s="13" t="s">
        <v>1667</v>
      </c>
      <c r="O230" s="13" t="s">
        <v>1488</v>
      </c>
      <c r="P230" s="29" t="s">
        <v>3412</v>
      </c>
      <c r="Q230" s="29"/>
      <c r="R230" s="29"/>
      <c r="S230" s="29" t="s">
        <v>1044</v>
      </c>
      <c r="T230" s="29" t="s">
        <v>326</v>
      </c>
      <c r="U230" s="29" t="s">
        <v>2750</v>
      </c>
      <c r="V230" s="29" t="s">
        <v>421</v>
      </c>
      <c r="W230" s="29" t="s">
        <v>375</v>
      </c>
    </row>
    <row r="231" spans="1:23" x14ac:dyDescent="0.25">
      <c r="A231" s="29">
        <v>221</v>
      </c>
      <c r="B231" s="29" t="s">
        <v>213</v>
      </c>
      <c r="C231" s="29" t="s">
        <v>2148</v>
      </c>
      <c r="D231" s="29" t="s">
        <v>1712</v>
      </c>
      <c r="E231" s="29" t="s">
        <v>1712</v>
      </c>
      <c r="F231" s="29"/>
      <c r="G231" s="29"/>
      <c r="H231" s="29"/>
      <c r="I231" s="29"/>
      <c r="J231" s="13" t="s">
        <v>3097</v>
      </c>
      <c r="K231" s="13" t="s">
        <v>1489</v>
      </c>
      <c r="L231" s="13" t="s">
        <v>2436</v>
      </c>
      <c r="M231" s="15" t="s">
        <v>3783</v>
      </c>
      <c r="N231" s="13" t="s">
        <v>1838</v>
      </c>
      <c r="O231" s="13" t="s">
        <v>1490</v>
      </c>
      <c r="P231" s="29"/>
      <c r="Q231" s="29"/>
      <c r="R231" s="29"/>
      <c r="S231" s="29" t="s">
        <v>1043</v>
      </c>
      <c r="T231" s="29" t="s">
        <v>365</v>
      </c>
      <c r="U231" s="29" t="s">
        <v>2796</v>
      </c>
      <c r="V231" s="29"/>
      <c r="W231" s="29" t="s">
        <v>1042</v>
      </c>
    </row>
    <row r="232" spans="1:23" x14ac:dyDescent="0.25">
      <c r="A232" s="29">
        <v>222</v>
      </c>
      <c r="B232" s="29" t="s">
        <v>114</v>
      </c>
      <c r="C232" s="29" t="s">
        <v>2149</v>
      </c>
      <c r="D232" s="29" t="s">
        <v>1712</v>
      </c>
      <c r="E232" s="29" t="s">
        <v>1712</v>
      </c>
      <c r="F232" s="29"/>
      <c r="G232" s="29"/>
      <c r="H232" s="29"/>
      <c r="I232" s="29"/>
      <c r="J232" s="13" t="s">
        <v>3098</v>
      </c>
      <c r="K232" s="13" t="s">
        <v>1491</v>
      </c>
      <c r="L232" s="13" t="s">
        <v>2437</v>
      </c>
      <c r="M232" s="15" t="s">
        <v>3784</v>
      </c>
      <c r="N232" s="13" t="s">
        <v>1839</v>
      </c>
      <c r="O232" s="13" t="s">
        <v>1492</v>
      </c>
      <c r="P232" s="29" t="s">
        <v>895</v>
      </c>
      <c r="Q232" s="29" t="s">
        <v>2622</v>
      </c>
      <c r="R232" s="29"/>
      <c r="S232" s="29" t="s">
        <v>897</v>
      </c>
      <c r="T232" s="29" t="s">
        <v>4105</v>
      </c>
      <c r="U232" s="29" t="s">
        <v>4106</v>
      </c>
      <c r="V232" s="29"/>
      <c r="W232" s="29" t="s">
        <v>896</v>
      </c>
    </row>
    <row r="233" spans="1:23" x14ac:dyDescent="0.25">
      <c r="A233" s="29">
        <v>223</v>
      </c>
      <c r="B233" s="29" t="s">
        <v>48</v>
      </c>
      <c r="C233" s="29" t="s">
        <v>2150</v>
      </c>
      <c r="D233" s="29" t="s">
        <v>3594</v>
      </c>
      <c r="E233" s="29" t="s">
        <v>1923</v>
      </c>
      <c r="F233" s="29"/>
      <c r="G233" s="29"/>
      <c r="H233" s="29"/>
      <c r="I233" s="29"/>
      <c r="J233" s="13" t="s">
        <v>1667</v>
      </c>
      <c r="K233" s="13" t="s">
        <v>1667</v>
      </c>
      <c r="L233" s="13" t="s">
        <v>1667</v>
      </c>
      <c r="N233" s="13" t="s">
        <v>1840</v>
      </c>
      <c r="O233" s="13" t="s">
        <v>1493</v>
      </c>
      <c r="P233" s="29" t="s">
        <v>753</v>
      </c>
      <c r="Q233" s="29" t="s">
        <v>2623</v>
      </c>
      <c r="R233" s="29"/>
      <c r="S233" s="29" t="s">
        <v>754</v>
      </c>
      <c r="T233" s="29" t="s">
        <v>264</v>
      </c>
      <c r="U233" s="29" t="s">
        <v>2797</v>
      </c>
      <c r="V233" s="29"/>
      <c r="W233" s="29" t="s">
        <v>375</v>
      </c>
    </row>
    <row r="234" spans="1:23" x14ac:dyDescent="0.25">
      <c r="A234" s="29">
        <v>224</v>
      </c>
      <c r="B234" s="29" t="s">
        <v>65</v>
      </c>
      <c r="C234" s="29" t="s">
        <v>2151</v>
      </c>
      <c r="D234" s="29" t="s">
        <v>1712</v>
      </c>
      <c r="E234" s="29" t="s">
        <v>1712</v>
      </c>
      <c r="F234" s="29"/>
      <c r="G234" s="29"/>
      <c r="H234" s="29"/>
      <c r="I234" s="29"/>
      <c r="J234" s="13" t="s">
        <v>3099</v>
      </c>
      <c r="K234" s="13" t="s">
        <v>1494</v>
      </c>
      <c r="L234" s="13" t="s">
        <v>2438</v>
      </c>
      <c r="M234" s="15" t="s">
        <v>3785</v>
      </c>
      <c r="N234" s="13" t="s">
        <v>1841</v>
      </c>
      <c r="O234" s="13" t="s">
        <v>1495</v>
      </c>
      <c r="P234" s="29" t="s">
        <v>785</v>
      </c>
      <c r="Q234" s="29" t="s">
        <v>2624</v>
      </c>
      <c r="R234" s="29"/>
      <c r="S234" s="29" t="s">
        <v>786</v>
      </c>
      <c r="T234" s="29" t="s">
        <v>4107</v>
      </c>
      <c r="U234" s="29" t="s">
        <v>4108</v>
      </c>
      <c r="V234" s="29"/>
      <c r="W234" s="29" t="s">
        <v>375</v>
      </c>
    </row>
    <row r="235" spans="1:23" x14ac:dyDescent="0.25">
      <c r="A235" s="29">
        <v>225</v>
      </c>
      <c r="B235" s="29" t="s">
        <v>512</v>
      </c>
      <c r="C235" s="29" t="s">
        <v>2152</v>
      </c>
      <c r="D235" s="29" t="s">
        <v>1712</v>
      </c>
      <c r="E235" s="29" t="s">
        <v>1712</v>
      </c>
      <c r="F235" s="29"/>
      <c r="G235" s="29"/>
      <c r="H235" s="29"/>
      <c r="I235" s="29"/>
      <c r="J235" s="13" t="s">
        <v>3100</v>
      </c>
      <c r="K235" s="13" t="s">
        <v>1496</v>
      </c>
      <c r="L235" s="13" t="s">
        <v>2439</v>
      </c>
      <c r="M235" s="15" t="s">
        <v>3786</v>
      </c>
      <c r="N235" s="13" t="s">
        <v>1842</v>
      </c>
      <c r="O235" s="13" t="s">
        <v>1497</v>
      </c>
      <c r="P235" s="29"/>
      <c r="Q235" s="29"/>
      <c r="R235" s="29"/>
      <c r="S235" s="29" t="s">
        <v>513</v>
      </c>
      <c r="T235" s="29" t="s">
        <v>4109</v>
      </c>
      <c r="U235" s="29" t="s">
        <v>4110</v>
      </c>
      <c r="V235" s="29"/>
      <c r="W235" s="29" t="s">
        <v>391</v>
      </c>
    </row>
    <row r="236" spans="1:23" x14ac:dyDescent="0.25">
      <c r="A236" s="29">
        <v>226</v>
      </c>
      <c r="B236" s="29" t="s">
        <v>70</v>
      </c>
      <c r="C236" s="29" t="s">
        <v>2153</v>
      </c>
      <c r="D236" s="29" t="s">
        <v>3598</v>
      </c>
      <c r="E236" s="29" t="s">
        <v>1924</v>
      </c>
      <c r="F236" s="29"/>
      <c r="G236" s="29"/>
      <c r="H236" s="29"/>
      <c r="I236" s="29"/>
      <c r="J236" s="13" t="s">
        <v>3101</v>
      </c>
      <c r="K236" s="13" t="s">
        <v>1498</v>
      </c>
      <c r="L236" s="13" t="s">
        <v>2440</v>
      </c>
      <c r="M236" s="15" t="s">
        <v>3787</v>
      </c>
      <c r="N236" s="13" t="s">
        <v>1843</v>
      </c>
      <c r="O236" s="13" t="s">
        <v>1499</v>
      </c>
      <c r="P236" s="29" t="s">
        <v>793</v>
      </c>
      <c r="Q236" s="29" t="s">
        <v>2625</v>
      </c>
      <c r="R236" s="29"/>
      <c r="S236" s="29" t="s">
        <v>795</v>
      </c>
      <c r="T236" s="29" t="s">
        <v>274</v>
      </c>
      <c r="U236" s="29" t="s">
        <v>2798</v>
      </c>
      <c r="V236" s="29"/>
      <c r="W236" s="29" t="s">
        <v>794</v>
      </c>
    </row>
    <row r="237" spans="1:23" x14ac:dyDescent="0.25">
      <c r="A237" s="29">
        <v>227</v>
      </c>
      <c r="B237" s="29" t="s">
        <v>450</v>
      </c>
      <c r="C237" s="29" t="s">
        <v>2154</v>
      </c>
      <c r="D237" s="29" t="s">
        <v>1712</v>
      </c>
      <c r="E237" s="29" t="s">
        <v>1712</v>
      </c>
      <c r="F237" s="29"/>
      <c r="G237" s="29"/>
      <c r="H237" s="29"/>
      <c r="I237" s="29"/>
      <c r="J237" s="13" t="s">
        <v>3102</v>
      </c>
      <c r="K237" s="13" t="s">
        <v>1500</v>
      </c>
      <c r="L237" s="13" t="s">
        <v>2441</v>
      </c>
      <c r="M237" s="15" t="s">
        <v>3788</v>
      </c>
      <c r="N237" s="13" t="s">
        <v>1844</v>
      </c>
      <c r="O237" s="13" t="s">
        <v>1501</v>
      </c>
      <c r="P237" s="29"/>
      <c r="Q237" s="29"/>
      <c r="R237" s="29"/>
      <c r="S237" s="29" t="s">
        <v>451</v>
      </c>
      <c r="T237" s="29" t="s">
        <v>4042</v>
      </c>
      <c r="U237" s="29" t="s">
        <v>4043</v>
      </c>
      <c r="V237" s="29"/>
      <c r="W237" s="29" t="s">
        <v>375</v>
      </c>
    </row>
    <row r="238" spans="1:23" x14ac:dyDescent="0.25">
      <c r="A238" s="29">
        <v>228</v>
      </c>
      <c r="B238" s="29" t="s">
        <v>536</v>
      </c>
      <c r="C238" s="29" t="s">
        <v>2155</v>
      </c>
      <c r="D238" s="29" t="s">
        <v>1712</v>
      </c>
      <c r="E238" s="29" t="s">
        <v>1712</v>
      </c>
      <c r="F238" s="29"/>
      <c r="G238" s="29"/>
      <c r="H238" s="29"/>
      <c r="I238" s="29"/>
      <c r="J238" s="13" t="s">
        <v>3103</v>
      </c>
      <c r="K238" s="13" t="s">
        <v>1502</v>
      </c>
      <c r="L238" s="13" t="s">
        <v>2442</v>
      </c>
      <c r="M238" s="15" t="s">
        <v>3789</v>
      </c>
      <c r="N238" s="13" t="s">
        <v>1845</v>
      </c>
      <c r="O238" s="13" t="s">
        <v>1503</v>
      </c>
      <c r="P238" s="29" t="s">
        <v>537</v>
      </c>
      <c r="Q238" s="29" t="s">
        <v>2626</v>
      </c>
      <c r="R238" s="29"/>
      <c r="S238" s="29" t="s">
        <v>538</v>
      </c>
      <c r="T238" s="29" t="s">
        <v>236</v>
      </c>
      <c r="U238" s="29" t="s">
        <v>2799</v>
      </c>
      <c r="V238" s="29"/>
      <c r="W238" s="29" t="s">
        <v>395</v>
      </c>
    </row>
    <row r="239" spans="1:23" x14ac:dyDescent="0.25">
      <c r="A239" s="29">
        <v>229</v>
      </c>
      <c r="B239" s="29" t="s">
        <v>145</v>
      </c>
      <c r="C239" s="29" t="s">
        <v>2156</v>
      </c>
      <c r="D239" s="29" t="s">
        <v>3572</v>
      </c>
      <c r="E239" s="29" t="s">
        <v>1922</v>
      </c>
      <c r="F239" s="29"/>
      <c r="G239" s="29"/>
      <c r="H239" s="29"/>
      <c r="I239" s="29"/>
      <c r="J239" s="13" t="s">
        <v>3104</v>
      </c>
      <c r="K239" s="13" t="s">
        <v>1504</v>
      </c>
      <c r="L239" s="13" t="s">
        <v>2443</v>
      </c>
      <c r="M239" s="15" t="s">
        <v>3790</v>
      </c>
      <c r="N239" s="13" t="s">
        <v>1846</v>
      </c>
      <c r="O239" s="13" t="s">
        <v>1505</v>
      </c>
      <c r="P239" s="29"/>
      <c r="Q239" s="29"/>
      <c r="R239" s="29"/>
      <c r="S239" s="29" t="s">
        <v>964</v>
      </c>
      <c r="T239" s="29" t="s">
        <v>325</v>
      </c>
      <c r="U239" s="29" t="s">
        <v>2800</v>
      </c>
      <c r="V239" s="29"/>
      <c r="W239" s="29" t="s">
        <v>963</v>
      </c>
    </row>
    <row r="240" spans="1:23" x14ac:dyDescent="0.25">
      <c r="A240" s="29">
        <v>230</v>
      </c>
      <c r="B240" s="29" t="s">
        <v>446</v>
      </c>
      <c r="C240" s="29" t="s">
        <v>2157</v>
      </c>
      <c r="D240" s="29" t="s">
        <v>1712</v>
      </c>
      <c r="E240" s="29" t="s">
        <v>1712</v>
      </c>
      <c r="F240" s="29"/>
      <c r="G240" s="29"/>
      <c r="H240" s="29"/>
      <c r="I240" s="29"/>
      <c r="J240" s="13" t="s">
        <v>3105</v>
      </c>
      <c r="K240" s="13" t="s">
        <v>1506</v>
      </c>
      <c r="L240" s="13" t="s">
        <v>2444</v>
      </c>
      <c r="M240" s="15" t="s">
        <v>3791</v>
      </c>
      <c r="N240" s="13" t="s">
        <v>1847</v>
      </c>
      <c r="O240" s="13" t="s">
        <v>1507</v>
      </c>
      <c r="P240" s="29"/>
      <c r="Q240" s="29"/>
      <c r="R240" s="29"/>
      <c r="S240" s="29" t="s">
        <v>622</v>
      </c>
      <c r="T240" s="29" t="s">
        <v>2665</v>
      </c>
      <c r="U240" s="29" t="s">
        <v>3248</v>
      </c>
      <c r="V240" s="29"/>
      <c r="W240" s="29" t="s">
        <v>375</v>
      </c>
    </row>
    <row r="241" spans="1:23" x14ac:dyDescent="0.25">
      <c r="A241" s="29">
        <v>231</v>
      </c>
      <c r="B241" s="29" t="s">
        <v>74</v>
      </c>
      <c r="C241" s="29" t="s">
        <v>2158</v>
      </c>
      <c r="D241" s="29" t="s">
        <v>1712</v>
      </c>
      <c r="E241" s="29" t="s">
        <v>1712</v>
      </c>
      <c r="F241" s="29"/>
      <c r="G241" s="29"/>
      <c r="H241" s="29"/>
      <c r="I241" s="29"/>
      <c r="J241" s="13" t="s">
        <v>3106</v>
      </c>
      <c r="K241" s="13" t="s">
        <v>1508</v>
      </c>
      <c r="L241" s="13" t="s">
        <v>2445</v>
      </c>
      <c r="M241" s="15" t="s">
        <v>3567</v>
      </c>
      <c r="N241" s="13" t="s">
        <v>1848</v>
      </c>
      <c r="O241" s="13" t="s">
        <v>1509</v>
      </c>
      <c r="P241" s="29" t="s">
        <v>805</v>
      </c>
      <c r="Q241" s="29" t="s">
        <v>2627</v>
      </c>
      <c r="R241" s="29"/>
      <c r="S241" s="29" t="s">
        <v>807</v>
      </c>
      <c r="T241" s="29" t="s">
        <v>278</v>
      </c>
      <c r="U241" s="29" t="s">
        <v>2801</v>
      </c>
      <c r="V241" s="29"/>
      <c r="W241" s="29" t="s">
        <v>806</v>
      </c>
    </row>
    <row r="242" spans="1:23" x14ac:dyDescent="0.25">
      <c r="A242" s="29">
        <v>232</v>
      </c>
      <c r="B242" s="29" t="s">
        <v>78</v>
      </c>
      <c r="C242" s="29" t="s">
        <v>2159</v>
      </c>
      <c r="D242" s="29" t="s">
        <v>1712</v>
      </c>
      <c r="E242" s="29" t="s">
        <v>1712</v>
      </c>
      <c r="F242" s="29"/>
      <c r="G242" s="29"/>
      <c r="H242" s="29"/>
      <c r="I242" s="29"/>
      <c r="J242" s="13" t="s">
        <v>1667</v>
      </c>
      <c r="K242" s="13" t="s">
        <v>1667</v>
      </c>
      <c r="L242" s="13" t="s">
        <v>1667</v>
      </c>
      <c r="N242" s="13" t="s">
        <v>1849</v>
      </c>
      <c r="O242" s="13" t="s">
        <v>1510</v>
      </c>
      <c r="P242" s="29" t="s">
        <v>813</v>
      </c>
      <c r="Q242" s="29" t="s">
        <v>2628</v>
      </c>
      <c r="R242" s="29"/>
      <c r="S242" s="29" t="s">
        <v>815</v>
      </c>
      <c r="T242" s="29" t="s">
        <v>281</v>
      </c>
      <c r="U242" s="29" t="s">
        <v>2802</v>
      </c>
      <c r="V242" s="29"/>
      <c r="W242" s="29" t="s">
        <v>814</v>
      </c>
    </row>
    <row r="243" spans="1:23" x14ac:dyDescent="0.25">
      <c r="A243" s="29">
        <v>233</v>
      </c>
      <c r="B243" s="29" t="s">
        <v>93</v>
      </c>
      <c r="C243" s="29" t="s">
        <v>2160</v>
      </c>
      <c r="D243" s="29" t="s">
        <v>1712</v>
      </c>
      <c r="E243" s="29" t="s">
        <v>1712</v>
      </c>
      <c r="F243" s="29"/>
      <c r="G243" s="29"/>
      <c r="H243" s="29"/>
      <c r="I243" s="29"/>
      <c r="J243" s="13" t="s">
        <v>3107</v>
      </c>
      <c r="K243" s="13" t="s">
        <v>1511</v>
      </c>
      <c r="L243" s="13" t="s">
        <v>2446</v>
      </c>
      <c r="M243" s="15" t="s">
        <v>3792</v>
      </c>
      <c r="N243" s="13" t="s">
        <v>1850</v>
      </c>
      <c r="O243" s="13" t="s">
        <v>1512</v>
      </c>
      <c r="P243" s="29" t="s">
        <v>847</v>
      </c>
      <c r="Q243" s="29" t="s">
        <v>2629</v>
      </c>
      <c r="R243" s="29"/>
      <c r="S243" s="29" t="s">
        <v>849</v>
      </c>
      <c r="T243" s="29" t="s">
        <v>289</v>
      </c>
      <c r="U243" s="29" t="s">
        <v>2803</v>
      </c>
      <c r="V243" s="29"/>
      <c r="W243" s="29" t="s">
        <v>848</v>
      </c>
    </row>
    <row r="244" spans="1:23" x14ac:dyDescent="0.25">
      <c r="A244" s="29">
        <v>234</v>
      </c>
      <c r="B244" s="29" t="s">
        <v>186</v>
      </c>
      <c r="C244" s="29" t="s">
        <v>2161</v>
      </c>
      <c r="D244" s="29" t="s">
        <v>1712</v>
      </c>
      <c r="E244" s="29" t="s">
        <v>1712</v>
      </c>
      <c r="F244" s="29"/>
      <c r="G244" s="29"/>
      <c r="H244" s="29"/>
      <c r="I244" s="29"/>
      <c r="J244" s="13" t="s">
        <v>3108</v>
      </c>
      <c r="K244" s="13" t="s">
        <v>1513</v>
      </c>
      <c r="L244" s="13" t="s">
        <v>2447</v>
      </c>
      <c r="M244" s="15" t="s">
        <v>3793</v>
      </c>
      <c r="N244" s="13" t="s">
        <v>1851</v>
      </c>
      <c r="O244" s="13" t="s">
        <v>1514</v>
      </c>
      <c r="P244" s="29"/>
      <c r="Q244" s="29"/>
      <c r="R244" s="29"/>
      <c r="S244" s="29" t="s">
        <v>1016</v>
      </c>
      <c r="T244" s="29" t="s">
        <v>4111</v>
      </c>
      <c r="U244" s="29" t="s">
        <v>4112</v>
      </c>
      <c r="V244" s="29"/>
      <c r="W244" s="29" t="s">
        <v>1015</v>
      </c>
    </row>
    <row r="245" spans="1:23" x14ac:dyDescent="0.25">
      <c r="A245" s="29">
        <v>235</v>
      </c>
      <c r="B245" s="29" t="s">
        <v>519</v>
      </c>
      <c r="C245" s="29" t="s">
        <v>2162</v>
      </c>
      <c r="D245" s="29" t="s">
        <v>3558</v>
      </c>
      <c r="E245" s="29" t="s">
        <v>1922</v>
      </c>
      <c r="F245" s="29" t="s">
        <v>3415</v>
      </c>
      <c r="G245" s="29" t="s">
        <v>3416</v>
      </c>
      <c r="H245" s="29" t="s">
        <v>3240</v>
      </c>
      <c r="I245" s="29" t="s">
        <v>3241</v>
      </c>
      <c r="J245" s="13" t="s">
        <v>3109</v>
      </c>
      <c r="K245" s="13" t="s">
        <v>1515</v>
      </c>
      <c r="L245" s="13" t="s">
        <v>2448</v>
      </c>
      <c r="M245" s="15" t="s">
        <v>3794</v>
      </c>
      <c r="N245" s="13" t="s">
        <v>1852</v>
      </c>
      <c r="O245" s="13" t="s">
        <v>1516</v>
      </c>
      <c r="P245" s="29" t="s">
        <v>520</v>
      </c>
      <c r="Q245" s="29" t="s">
        <v>2630</v>
      </c>
      <c r="R245" s="29" t="s">
        <v>3795</v>
      </c>
      <c r="S245" s="29" t="s">
        <v>521</v>
      </c>
      <c r="T245" s="29" t="s">
        <v>4113</v>
      </c>
      <c r="U245" s="29" t="s">
        <v>4114</v>
      </c>
      <c r="V245" s="29" t="s">
        <v>428</v>
      </c>
      <c r="W245" s="29" t="s">
        <v>378</v>
      </c>
    </row>
    <row r="246" spans="1:23" x14ac:dyDescent="0.25">
      <c r="A246" s="29">
        <v>238</v>
      </c>
      <c r="B246" s="29" t="s">
        <v>3417</v>
      </c>
      <c r="C246" s="29" t="s">
        <v>3418</v>
      </c>
      <c r="D246" s="29" t="s">
        <v>3629</v>
      </c>
      <c r="E246" s="29" t="s">
        <v>1921</v>
      </c>
      <c r="F246" s="29" t="s">
        <v>3419</v>
      </c>
      <c r="G246" s="29" t="s">
        <v>3420</v>
      </c>
      <c r="H246" s="29" t="s">
        <v>3421</v>
      </c>
      <c r="I246" s="29" t="s">
        <v>3422</v>
      </c>
      <c r="J246" s="13" t="s">
        <v>3423</v>
      </c>
      <c r="K246" s="13" t="s">
        <v>3424</v>
      </c>
      <c r="L246" s="13" t="s">
        <v>3425</v>
      </c>
      <c r="M246" s="15" t="s">
        <v>3426</v>
      </c>
      <c r="N246" s="13" t="s">
        <v>3427</v>
      </c>
      <c r="O246" s="13" t="s">
        <v>3428</v>
      </c>
      <c r="P246" s="29" t="s">
        <v>3429</v>
      </c>
      <c r="Q246" s="29" t="s">
        <v>3430</v>
      </c>
      <c r="R246" s="29" t="s">
        <v>3431</v>
      </c>
      <c r="S246" s="29" t="s">
        <v>3432</v>
      </c>
      <c r="T246" s="29" t="s">
        <v>373</v>
      </c>
      <c r="U246" s="29" t="s">
        <v>3433</v>
      </c>
      <c r="V246" s="29" t="s">
        <v>418</v>
      </c>
      <c r="W246" s="29" t="s">
        <v>377</v>
      </c>
    </row>
    <row r="247" spans="1:23" x14ac:dyDescent="0.25">
      <c r="A247" s="29">
        <v>315</v>
      </c>
      <c r="B247" s="29" t="s">
        <v>4254</v>
      </c>
      <c r="C247" s="29" t="s">
        <v>4255</v>
      </c>
      <c r="D247" s="29" t="s">
        <v>3610</v>
      </c>
      <c r="E247" s="29" t="s">
        <v>1921</v>
      </c>
      <c r="F247" s="29" t="s">
        <v>4224</v>
      </c>
      <c r="G247" s="29" t="s">
        <v>4207</v>
      </c>
      <c r="H247" s="29" t="s">
        <v>4256</v>
      </c>
      <c r="I247" s="29" t="s">
        <v>4191</v>
      </c>
      <c r="J247" s="13" t="s">
        <v>4257</v>
      </c>
      <c r="K247" s="13" t="s">
        <v>4258</v>
      </c>
      <c r="L247" s="13" t="s">
        <v>4259</v>
      </c>
      <c r="M247" s="15" t="s">
        <v>4302</v>
      </c>
      <c r="N247" s="13" t="s">
        <v>4260</v>
      </c>
      <c r="O247" s="13" t="s">
        <v>4261</v>
      </c>
      <c r="P247" s="29" t="s">
        <v>4262</v>
      </c>
      <c r="Q247" s="29" t="s">
        <v>4263</v>
      </c>
      <c r="R247" s="29" t="s">
        <v>4264</v>
      </c>
      <c r="S247" s="29" t="s">
        <v>4265</v>
      </c>
      <c r="T247" s="29" t="s">
        <v>4235</v>
      </c>
      <c r="U247" s="29" t="s">
        <v>4219</v>
      </c>
      <c r="V247" s="29" t="s">
        <v>4220</v>
      </c>
      <c r="W247" s="29" t="s">
        <v>4221</v>
      </c>
    </row>
    <row r="248" spans="1:23" x14ac:dyDescent="0.25">
      <c r="A248" s="29">
        <v>236</v>
      </c>
      <c r="B248" s="29" t="s">
        <v>139</v>
      </c>
      <c r="C248" s="29" t="s">
        <v>2163</v>
      </c>
      <c r="D248" s="29" t="s">
        <v>1712</v>
      </c>
      <c r="E248" s="29" t="s">
        <v>1712</v>
      </c>
      <c r="F248" s="29"/>
      <c r="G248" s="29"/>
      <c r="H248" s="29"/>
      <c r="I248" s="29"/>
      <c r="J248" s="13" t="s">
        <v>1667</v>
      </c>
      <c r="K248" s="13" t="s">
        <v>1667</v>
      </c>
      <c r="L248" s="13" t="s">
        <v>1667</v>
      </c>
      <c r="N248" s="13" t="s">
        <v>1853</v>
      </c>
      <c r="O248" s="13" t="s">
        <v>1517</v>
      </c>
      <c r="P248" s="29" t="s">
        <v>955</v>
      </c>
      <c r="Q248" s="29" t="s">
        <v>2631</v>
      </c>
      <c r="R248" s="29"/>
      <c r="S248" s="29" t="s">
        <v>492</v>
      </c>
      <c r="T248" s="29" t="s">
        <v>321</v>
      </c>
      <c r="U248" s="29" t="s">
        <v>2804</v>
      </c>
      <c r="V248" s="29"/>
      <c r="W248" s="29" t="s">
        <v>385</v>
      </c>
    </row>
    <row r="249" spans="1:23" x14ac:dyDescent="0.25">
      <c r="A249" s="29">
        <v>237</v>
      </c>
      <c r="B249" s="29" t="s">
        <v>174</v>
      </c>
      <c r="C249" s="29" t="s">
        <v>2164</v>
      </c>
      <c r="D249" s="29" t="s">
        <v>1712</v>
      </c>
      <c r="E249" s="29" t="s">
        <v>1712</v>
      </c>
      <c r="F249" s="29"/>
      <c r="G249" s="29"/>
      <c r="H249" s="29"/>
      <c r="I249" s="29"/>
      <c r="J249" s="13" t="s">
        <v>3110</v>
      </c>
      <c r="K249" s="13" t="s">
        <v>1518</v>
      </c>
      <c r="L249" s="13" t="s">
        <v>2449</v>
      </c>
      <c r="M249" s="15" t="s">
        <v>3796</v>
      </c>
      <c r="N249" s="13" t="s">
        <v>1854</v>
      </c>
      <c r="O249" s="13" t="s">
        <v>1519</v>
      </c>
      <c r="P249" s="29"/>
      <c r="Q249" s="29"/>
      <c r="R249" s="29"/>
      <c r="S249" s="29" t="s">
        <v>1007</v>
      </c>
      <c r="T249" s="29" t="s">
        <v>337</v>
      </c>
      <c r="U249" s="29" t="s">
        <v>2705</v>
      </c>
      <c r="V249" s="29"/>
      <c r="W249" s="29" t="s">
        <v>375</v>
      </c>
    </row>
    <row r="250" spans="1:23" x14ac:dyDescent="0.25">
      <c r="A250" s="29">
        <v>239</v>
      </c>
      <c r="B250" s="29" t="s">
        <v>178</v>
      </c>
      <c r="C250" s="29" t="s">
        <v>2165</v>
      </c>
      <c r="D250" s="29" t="s">
        <v>1712</v>
      </c>
      <c r="E250" s="29" t="s">
        <v>1712</v>
      </c>
      <c r="F250" s="29"/>
      <c r="G250" s="29"/>
      <c r="H250" s="29"/>
      <c r="I250" s="29"/>
      <c r="J250" s="13" t="s">
        <v>3111</v>
      </c>
      <c r="K250" s="13" t="s">
        <v>1520</v>
      </c>
      <c r="L250" s="13" t="s">
        <v>2450</v>
      </c>
      <c r="M250" s="15" t="s">
        <v>3797</v>
      </c>
      <c r="N250" s="13" t="s">
        <v>1855</v>
      </c>
      <c r="O250" s="13" t="s">
        <v>1521</v>
      </c>
      <c r="P250" s="29" t="s">
        <v>344</v>
      </c>
      <c r="Q250" s="29" t="s">
        <v>2632</v>
      </c>
      <c r="R250" s="29"/>
      <c r="S250" s="29" t="s">
        <v>996</v>
      </c>
      <c r="T250" s="29" t="s">
        <v>4115</v>
      </c>
      <c r="U250" s="29" t="s">
        <v>4116</v>
      </c>
      <c r="V250" s="29"/>
      <c r="W250" s="29" t="s">
        <v>381</v>
      </c>
    </row>
    <row r="251" spans="1:23" x14ac:dyDescent="0.25">
      <c r="A251" s="29">
        <v>240</v>
      </c>
      <c r="B251" s="29" t="s">
        <v>182</v>
      </c>
      <c r="C251" s="29" t="s">
        <v>2166</v>
      </c>
      <c r="D251" s="29" t="s">
        <v>3600</v>
      </c>
      <c r="E251" s="29" t="s">
        <v>1922</v>
      </c>
      <c r="F251" s="29" t="s">
        <v>3434</v>
      </c>
      <c r="G251" s="29" t="s">
        <v>3435</v>
      </c>
      <c r="H251" s="29" t="s">
        <v>3436</v>
      </c>
      <c r="I251" s="29" t="s">
        <v>3437</v>
      </c>
      <c r="J251" s="13" t="s">
        <v>3912</v>
      </c>
      <c r="K251" s="13" t="s">
        <v>3438</v>
      </c>
      <c r="L251" s="13" t="s">
        <v>3439</v>
      </c>
      <c r="M251" s="15" t="s">
        <v>3798</v>
      </c>
      <c r="N251" s="13" t="s">
        <v>1856</v>
      </c>
      <c r="O251" s="13" t="s">
        <v>1522</v>
      </c>
      <c r="P251" s="29" t="s">
        <v>3440</v>
      </c>
      <c r="Q251" s="29" t="s">
        <v>3441</v>
      </c>
      <c r="R251" s="29" t="s">
        <v>3799</v>
      </c>
      <c r="S251" s="29" t="s">
        <v>437</v>
      </c>
      <c r="T251" s="29" t="s">
        <v>4115</v>
      </c>
      <c r="U251" s="29" t="s">
        <v>4116</v>
      </c>
      <c r="V251" s="29" t="s">
        <v>438</v>
      </c>
      <c r="W251" s="29" t="s">
        <v>381</v>
      </c>
    </row>
    <row r="252" spans="1:23" x14ac:dyDescent="0.25">
      <c r="A252" s="29">
        <v>241</v>
      </c>
      <c r="B252" s="29" t="s">
        <v>734</v>
      </c>
      <c r="C252" s="29" t="s">
        <v>2167</v>
      </c>
      <c r="D252" s="29" t="s">
        <v>3578</v>
      </c>
      <c r="E252" s="29" t="s">
        <v>1924</v>
      </c>
      <c r="F252" s="29"/>
      <c r="G252" s="29"/>
      <c r="H252" s="29"/>
      <c r="I252" s="29"/>
      <c r="J252" s="13" t="s">
        <v>3112</v>
      </c>
      <c r="K252" s="13" t="s">
        <v>1523</v>
      </c>
      <c r="L252" s="13" t="s">
        <v>2451</v>
      </c>
      <c r="M252" s="15" t="s">
        <v>3800</v>
      </c>
      <c r="N252" s="13" t="s">
        <v>1857</v>
      </c>
      <c r="O252" s="13" t="s">
        <v>1524</v>
      </c>
      <c r="P252" s="29" t="s">
        <v>735</v>
      </c>
      <c r="Q252" s="29" t="s">
        <v>2633</v>
      </c>
      <c r="R252" s="29"/>
      <c r="S252" s="29" t="s">
        <v>736</v>
      </c>
      <c r="T252" s="29" t="s">
        <v>243</v>
      </c>
      <c r="U252" s="29" t="s">
        <v>2686</v>
      </c>
      <c r="V252" s="29"/>
      <c r="W252" s="29" t="s">
        <v>377</v>
      </c>
    </row>
    <row r="253" spans="1:23" x14ac:dyDescent="0.25">
      <c r="A253" s="29">
        <v>242</v>
      </c>
      <c r="B253" s="29" t="s">
        <v>644</v>
      </c>
      <c r="C253" s="29" t="s">
        <v>2168</v>
      </c>
      <c r="D253" s="29" t="s">
        <v>3576</v>
      </c>
      <c r="E253" s="29" t="s">
        <v>1921</v>
      </c>
      <c r="F253" s="29"/>
      <c r="G253" s="29"/>
      <c r="H253" s="29"/>
      <c r="I253" s="29"/>
      <c r="J253" s="13" t="s">
        <v>3113</v>
      </c>
      <c r="K253" s="13" t="s">
        <v>1525</v>
      </c>
      <c r="L253" s="13" t="s">
        <v>2452</v>
      </c>
      <c r="M253" s="15" t="s">
        <v>3801</v>
      </c>
      <c r="N253" s="13" t="s">
        <v>1858</v>
      </c>
      <c r="O253" s="13" t="s">
        <v>1526</v>
      </c>
      <c r="P253" s="29" t="s">
        <v>645</v>
      </c>
      <c r="Q253" s="29" t="s">
        <v>2634</v>
      </c>
      <c r="R253" s="29"/>
      <c r="S253" s="29" t="s">
        <v>646</v>
      </c>
      <c r="T253" s="29" t="s">
        <v>252</v>
      </c>
      <c r="U253" s="29" t="s">
        <v>2805</v>
      </c>
      <c r="V253" s="29"/>
      <c r="W253" s="29" t="s">
        <v>377</v>
      </c>
    </row>
    <row r="254" spans="1:23" x14ac:dyDescent="0.25">
      <c r="A254" s="29">
        <v>243</v>
      </c>
      <c r="B254" s="29" t="s">
        <v>447</v>
      </c>
      <c r="C254" s="29" t="s">
        <v>2169</v>
      </c>
      <c r="D254" s="29" t="s">
        <v>1712</v>
      </c>
      <c r="E254" s="29" t="s">
        <v>1712</v>
      </c>
      <c r="F254" s="29"/>
      <c r="G254" s="29"/>
      <c r="H254" s="29"/>
      <c r="I254" s="29"/>
      <c r="J254" s="13" t="s">
        <v>3114</v>
      </c>
      <c r="K254" s="13" t="s">
        <v>1203</v>
      </c>
      <c r="L254" s="13" t="s">
        <v>2301</v>
      </c>
      <c r="M254" s="15" t="s">
        <v>3802</v>
      </c>
      <c r="N254" s="13" t="s">
        <v>1859</v>
      </c>
      <c r="O254" s="13" t="s">
        <v>1527</v>
      </c>
      <c r="P254" s="29"/>
      <c r="Q254" s="29"/>
      <c r="R254" s="29"/>
      <c r="S254" s="29" t="s">
        <v>448</v>
      </c>
      <c r="T254" s="29" t="s">
        <v>4117</v>
      </c>
      <c r="U254" s="29" t="s">
        <v>4118</v>
      </c>
      <c r="V254" s="29"/>
      <c r="W254" s="29" t="s">
        <v>384</v>
      </c>
    </row>
    <row r="255" spans="1:23" x14ac:dyDescent="0.25">
      <c r="A255" s="29">
        <v>244</v>
      </c>
      <c r="B255" s="29" t="s">
        <v>129</v>
      </c>
      <c r="C255" s="29" t="s">
        <v>2170</v>
      </c>
      <c r="D255" s="29" t="s">
        <v>3596</v>
      </c>
      <c r="E255" s="29" t="s">
        <v>1922</v>
      </c>
      <c r="F255" s="29"/>
      <c r="G255" s="29"/>
      <c r="H255" s="29"/>
      <c r="I255" s="29"/>
      <c r="J255" s="13" t="s">
        <v>3115</v>
      </c>
      <c r="K255" s="13" t="s">
        <v>1528</v>
      </c>
      <c r="L255" s="13" t="s">
        <v>2453</v>
      </c>
      <c r="M255" s="15" t="s">
        <v>3803</v>
      </c>
      <c r="N255" s="13" t="s">
        <v>1860</v>
      </c>
      <c r="O255" s="13" t="s">
        <v>1529</v>
      </c>
      <c r="P255" s="29" t="s">
        <v>931</v>
      </c>
      <c r="Q255" s="29" t="s">
        <v>2635</v>
      </c>
      <c r="R255" s="29"/>
      <c r="S255" s="29" t="s">
        <v>932</v>
      </c>
      <c r="T255" s="29" t="s">
        <v>4119</v>
      </c>
      <c r="U255" s="29" t="s">
        <v>4120</v>
      </c>
      <c r="V255" s="29"/>
      <c r="W255" s="29" t="s">
        <v>378</v>
      </c>
    </row>
    <row r="256" spans="1:23" x14ac:dyDescent="0.25">
      <c r="A256" s="29">
        <v>245</v>
      </c>
      <c r="B256" s="29" t="s">
        <v>111</v>
      </c>
      <c r="C256" s="29" t="s">
        <v>2171</v>
      </c>
      <c r="D256" s="29" t="s">
        <v>1712</v>
      </c>
      <c r="E256" s="29" t="s">
        <v>1712</v>
      </c>
      <c r="F256" s="29"/>
      <c r="G256" s="29"/>
      <c r="H256" s="29"/>
      <c r="I256" s="29"/>
      <c r="J256" s="13" t="s">
        <v>3116</v>
      </c>
      <c r="K256" s="13" t="s">
        <v>1530</v>
      </c>
      <c r="L256" s="13" t="s">
        <v>2454</v>
      </c>
      <c r="M256" s="15" t="s">
        <v>3804</v>
      </c>
      <c r="N256" s="13" t="s">
        <v>1861</v>
      </c>
      <c r="O256" s="13" t="s">
        <v>1531</v>
      </c>
      <c r="P256" s="29" t="s">
        <v>884</v>
      </c>
      <c r="Q256" s="29" t="s">
        <v>2636</v>
      </c>
      <c r="R256" s="29"/>
      <c r="S256" s="29" t="s">
        <v>886</v>
      </c>
      <c r="T256" s="29" t="s">
        <v>303</v>
      </c>
      <c r="U256" s="29" t="s">
        <v>2806</v>
      </c>
      <c r="V256" s="29"/>
      <c r="W256" s="29" t="s">
        <v>885</v>
      </c>
    </row>
    <row r="257" spans="1:23" x14ac:dyDescent="0.25">
      <c r="A257" s="29">
        <v>246</v>
      </c>
      <c r="B257" s="29" t="s">
        <v>101</v>
      </c>
      <c r="C257" s="29" t="s">
        <v>2172</v>
      </c>
      <c r="D257" s="29" t="s">
        <v>1712</v>
      </c>
      <c r="E257" s="29" t="s">
        <v>1712</v>
      </c>
      <c r="F257" s="29"/>
      <c r="G257" s="29"/>
      <c r="H257" s="29"/>
      <c r="I257" s="29"/>
      <c r="J257" s="13" t="s">
        <v>3117</v>
      </c>
      <c r="K257" s="13" t="s">
        <v>1532</v>
      </c>
      <c r="L257" s="13" t="s">
        <v>2455</v>
      </c>
      <c r="M257" s="15" t="s">
        <v>3773</v>
      </c>
      <c r="N257" s="13" t="s">
        <v>1862</v>
      </c>
      <c r="O257" s="13" t="s">
        <v>1533</v>
      </c>
      <c r="P257" s="29" t="s">
        <v>866</v>
      </c>
      <c r="Q257" s="29" t="s">
        <v>2637</v>
      </c>
      <c r="R257" s="29"/>
      <c r="S257" s="29" t="s">
        <v>867</v>
      </c>
      <c r="T257" s="29" t="s">
        <v>295</v>
      </c>
      <c r="U257" s="29" t="s">
        <v>2807</v>
      </c>
      <c r="V257" s="29"/>
      <c r="W257" s="29" t="s">
        <v>744</v>
      </c>
    </row>
    <row r="258" spans="1:23" x14ac:dyDescent="0.25">
      <c r="A258" s="29">
        <v>247</v>
      </c>
      <c r="B258" s="29" t="s">
        <v>116</v>
      </c>
      <c r="C258" s="29" t="s">
        <v>2173</v>
      </c>
      <c r="D258" s="29" t="s">
        <v>3570</v>
      </c>
      <c r="E258" s="29" t="s">
        <v>1922</v>
      </c>
      <c r="F258" s="29" t="s">
        <v>3442</v>
      </c>
      <c r="G258" s="29" t="s">
        <v>3443</v>
      </c>
      <c r="H258" s="29" t="s">
        <v>3240</v>
      </c>
      <c r="I258" s="29" t="s">
        <v>3241</v>
      </c>
      <c r="J258" s="13" t="s">
        <v>3118</v>
      </c>
      <c r="K258" s="13" t="s">
        <v>1534</v>
      </c>
      <c r="L258" s="13" t="s">
        <v>2456</v>
      </c>
      <c r="M258" s="15" t="s">
        <v>3805</v>
      </c>
      <c r="N258" s="13" t="s">
        <v>1863</v>
      </c>
      <c r="O258" s="13" t="s">
        <v>1535</v>
      </c>
      <c r="P258" s="29" t="s">
        <v>900</v>
      </c>
      <c r="Q258" s="29" t="s">
        <v>2638</v>
      </c>
      <c r="R258" s="29" t="s">
        <v>3444</v>
      </c>
      <c r="S258" s="29" t="s">
        <v>3445</v>
      </c>
      <c r="T258" s="29" t="s">
        <v>2665</v>
      </c>
      <c r="U258" s="29" t="s">
        <v>3248</v>
      </c>
      <c r="V258" s="29" t="s">
        <v>421</v>
      </c>
      <c r="W258" s="29" t="s">
        <v>375</v>
      </c>
    </row>
    <row r="259" spans="1:23" x14ac:dyDescent="0.25">
      <c r="A259" s="29">
        <v>248</v>
      </c>
      <c r="B259" s="29" t="s">
        <v>94</v>
      </c>
      <c r="C259" s="29" t="s">
        <v>2174</v>
      </c>
      <c r="D259" s="29" t="s">
        <v>1712</v>
      </c>
      <c r="E259" s="29" t="s">
        <v>1712</v>
      </c>
      <c r="F259" s="29"/>
      <c r="G259" s="29"/>
      <c r="H259" s="29"/>
      <c r="I259" s="29"/>
      <c r="J259" s="13" t="s">
        <v>3119</v>
      </c>
      <c r="K259" s="13" t="s">
        <v>1373</v>
      </c>
      <c r="L259" s="13" t="s">
        <v>2380</v>
      </c>
      <c r="M259" s="15" t="s">
        <v>3806</v>
      </c>
      <c r="N259" s="13" t="s">
        <v>1864</v>
      </c>
      <c r="O259" s="13" t="s">
        <v>1536</v>
      </c>
      <c r="P259" s="29" t="s">
        <v>850</v>
      </c>
      <c r="Q259" s="29" t="s">
        <v>2639</v>
      </c>
      <c r="R259" s="29"/>
      <c r="S259" s="29" t="s">
        <v>852</v>
      </c>
      <c r="T259" s="29" t="s">
        <v>290</v>
      </c>
      <c r="U259" s="29" t="s">
        <v>2808</v>
      </c>
      <c r="V259" s="29"/>
      <c r="W259" s="29" t="s">
        <v>851</v>
      </c>
    </row>
    <row r="260" spans="1:23" x14ac:dyDescent="0.25">
      <c r="A260" s="29">
        <v>249</v>
      </c>
      <c r="B260" s="29" t="s">
        <v>69</v>
      </c>
      <c r="C260" s="29" t="s">
        <v>2175</v>
      </c>
      <c r="D260" s="29" t="s">
        <v>3572</v>
      </c>
      <c r="E260" s="29" t="s">
        <v>1922</v>
      </c>
      <c r="F260" s="29"/>
      <c r="G260" s="29"/>
      <c r="H260" s="29"/>
      <c r="I260" s="29"/>
      <c r="J260" s="13" t="s">
        <v>3120</v>
      </c>
      <c r="K260" s="13" t="s">
        <v>1537</v>
      </c>
      <c r="L260" s="13" t="s">
        <v>2457</v>
      </c>
      <c r="M260" s="15" t="s">
        <v>3807</v>
      </c>
      <c r="N260" s="13" t="s">
        <v>1865</v>
      </c>
      <c r="O260" s="13" t="s">
        <v>1538</v>
      </c>
      <c r="P260" s="29" t="s">
        <v>791</v>
      </c>
      <c r="Q260" s="29" t="s">
        <v>2640</v>
      </c>
      <c r="R260" s="29"/>
      <c r="S260" s="29" t="s">
        <v>792</v>
      </c>
      <c r="T260" s="29" t="s">
        <v>273</v>
      </c>
      <c r="U260" s="29" t="s">
        <v>2809</v>
      </c>
      <c r="V260" s="29"/>
      <c r="W260" s="29" t="s">
        <v>375</v>
      </c>
    </row>
    <row r="261" spans="1:23" x14ac:dyDescent="0.25">
      <c r="A261" s="29">
        <v>250</v>
      </c>
      <c r="B261" s="29" t="s">
        <v>144</v>
      </c>
      <c r="C261" s="29" t="s">
        <v>2176</v>
      </c>
      <c r="D261" s="29" t="s">
        <v>1712</v>
      </c>
      <c r="E261" s="29" t="s">
        <v>1712</v>
      </c>
      <c r="F261" s="29"/>
      <c r="G261" s="29"/>
      <c r="H261" s="29"/>
      <c r="I261" s="29"/>
      <c r="J261" s="13" t="s">
        <v>3121</v>
      </c>
      <c r="K261" s="13" t="s">
        <v>1539</v>
      </c>
      <c r="L261" s="13" t="s">
        <v>2458</v>
      </c>
      <c r="M261" s="15" t="s">
        <v>3808</v>
      </c>
      <c r="N261" s="13" t="s">
        <v>1866</v>
      </c>
      <c r="O261" s="13" t="s">
        <v>1540</v>
      </c>
      <c r="P261" s="29"/>
      <c r="Q261" s="29"/>
      <c r="R261" s="29"/>
      <c r="S261" s="29" t="s">
        <v>962</v>
      </c>
      <c r="T261" s="29" t="s">
        <v>324</v>
      </c>
      <c r="U261" s="29" t="s">
        <v>2810</v>
      </c>
      <c r="V261" s="29"/>
      <c r="W261" s="29" t="s">
        <v>961</v>
      </c>
    </row>
    <row r="262" spans="1:23" x14ac:dyDescent="0.25">
      <c r="A262" s="29">
        <v>251</v>
      </c>
      <c r="B262" s="29" t="s">
        <v>136</v>
      </c>
      <c r="C262" s="29" t="s">
        <v>2177</v>
      </c>
      <c r="D262" s="29" t="s">
        <v>1712</v>
      </c>
      <c r="E262" s="29" t="s">
        <v>1712</v>
      </c>
      <c r="F262" s="29"/>
      <c r="G262" s="29"/>
      <c r="H262" s="29"/>
      <c r="I262" s="29"/>
      <c r="J262" s="13" t="s">
        <v>3122</v>
      </c>
      <c r="K262" s="13" t="s">
        <v>1541</v>
      </c>
      <c r="L262" s="13" t="s">
        <v>2459</v>
      </c>
      <c r="M262" s="15" t="s">
        <v>3809</v>
      </c>
      <c r="N262" s="13" t="s">
        <v>1867</v>
      </c>
      <c r="O262" s="13" t="s">
        <v>1542</v>
      </c>
      <c r="P262" s="29" t="s">
        <v>948</v>
      </c>
      <c r="Q262" s="29" t="s">
        <v>2641</v>
      </c>
      <c r="R262" s="29"/>
      <c r="S262" s="29" t="s">
        <v>949</v>
      </c>
      <c r="T262" s="29" t="s">
        <v>318</v>
      </c>
      <c r="U262" s="29" t="s">
        <v>2811</v>
      </c>
      <c r="V262" s="29"/>
      <c r="W262" s="29" t="s">
        <v>378</v>
      </c>
    </row>
    <row r="263" spans="1:23" x14ac:dyDescent="0.25">
      <c r="A263" s="29">
        <v>252</v>
      </c>
      <c r="B263" s="29" t="s">
        <v>610</v>
      </c>
      <c r="C263" s="29" t="s">
        <v>2178</v>
      </c>
      <c r="D263" s="29" t="s">
        <v>3622</v>
      </c>
      <c r="E263" s="29" t="s">
        <v>1921</v>
      </c>
      <c r="F263" s="29" t="s">
        <v>3446</v>
      </c>
      <c r="G263" s="29" t="s">
        <v>3447</v>
      </c>
      <c r="H263" s="29" t="s">
        <v>3448</v>
      </c>
      <c r="I263" s="29" t="s">
        <v>3449</v>
      </c>
      <c r="J263" s="13" t="s">
        <v>3123</v>
      </c>
      <c r="K263" s="13" t="s">
        <v>1543</v>
      </c>
      <c r="L263" s="13" t="s">
        <v>2460</v>
      </c>
      <c r="M263" s="15" t="s">
        <v>3810</v>
      </c>
      <c r="N263" s="13" t="s">
        <v>1868</v>
      </c>
      <c r="O263" s="13" t="s">
        <v>1544</v>
      </c>
      <c r="P263" s="29" t="s">
        <v>611</v>
      </c>
      <c r="Q263" s="29" t="s">
        <v>2642</v>
      </c>
      <c r="R263" s="29" t="s">
        <v>3450</v>
      </c>
      <c r="S263" s="29" t="s">
        <v>612</v>
      </c>
      <c r="T263" s="29" t="s">
        <v>246</v>
      </c>
      <c r="U263" s="29" t="s">
        <v>2760</v>
      </c>
      <c r="V263" s="29" t="s">
        <v>428</v>
      </c>
      <c r="W263" s="29" t="s">
        <v>378</v>
      </c>
    </row>
    <row r="264" spans="1:23" x14ac:dyDescent="0.25">
      <c r="A264" s="29">
        <v>253</v>
      </c>
      <c r="B264" s="29" t="s">
        <v>676</v>
      </c>
      <c r="C264" s="29" t="s">
        <v>2179</v>
      </c>
      <c r="D264" s="29" t="s">
        <v>1712</v>
      </c>
      <c r="E264" s="29" t="s">
        <v>1712</v>
      </c>
      <c r="F264" s="29"/>
      <c r="G264" s="29"/>
      <c r="H264" s="29"/>
      <c r="I264" s="29"/>
      <c r="J264" s="13" t="s">
        <v>3124</v>
      </c>
      <c r="K264" s="13" t="s">
        <v>1545</v>
      </c>
      <c r="L264" s="13" t="s">
        <v>2461</v>
      </c>
      <c r="M264" s="15" t="s">
        <v>3811</v>
      </c>
      <c r="N264" s="13" t="s">
        <v>1869</v>
      </c>
      <c r="O264" s="13" t="s">
        <v>1546</v>
      </c>
      <c r="P264" s="29" t="s">
        <v>677</v>
      </c>
      <c r="Q264" s="29" t="s">
        <v>2643</v>
      </c>
      <c r="R264" s="29"/>
      <c r="S264" s="29" t="s">
        <v>679</v>
      </c>
      <c r="T264" s="29" t="s">
        <v>255</v>
      </c>
      <c r="U264" s="29" t="s">
        <v>2812</v>
      </c>
      <c r="V264" s="29"/>
      <c r="W264" s="29" t="s">
        <v>678</v>
      </c>
    </row>
    <row r="265" spans="1:23" x14ac:dyDescent="0.25">
      <c r="A265" s="29">
        <v>254</v>
      </c>
      <c r="B265" s="29" t="s">
        <v>173</v>
      </c>
      <c r="C265" s="29" t="s">
        <v>2180</v>
      </c>
      <c r="D265" s="29" t="s">
        <v>3570</v>
      </c>
      <c r="E265" s="29" t="s">
        <v>1922</v>
      </c>
      <c r="F265" s="29" t="s">
        <v>3451</v>
      </c>
      <c r="G265" s="29" t="s">
        <v>3452</v>
      </c>
      <c r="H265" s="29" t="s">
        <v>3453</v>
      </c>
      <c r="I265" s="29" t="s">
        <v>3454</v>
      </c>
      <c r="J265" s="13" t="s">
        <v>3125</v>
      </c>
      <c r="K265" s="13" t="s">
        <v>1547</v>
      </c>
      <c r="L265" s="13" t="s">
        <v>2462</v>
      </c>
      <c r="M265" s="15" t="s">
        <v>3812</v>
      </c>
      <c r="N265" s="13" t="s">
        <v>3813</v>
      </c>
      <c r="O265" s="13" t="s">
        <v>1548</v>
      </c>
      <c r="P265" s="29" t="s">
        <v>3455</v>
      </c>
      <c r="Q265" s="29" t="s">
        <v>3456</v>
      </c>
      <c r="R265" s="29" t="s">
        <v>3457</v>
      </c>
      <c r="S265" s="29" t="s">
        <v>992</v>
      </c>
      <c r="T265" s="29" t="s">
        <v>326</v>
      </c>
      <c r="U265" s="29" t="s">
        <v>2750</v>
      </c>
      <c r="V265" s="29" t="s">
        <v>421</v>
      </c>
      <c r="W265" s="29" t="s">
        <v>375</v>
      </c>
    </row>
    <row r="266" spans="1:23" x14ac:dyDescent="0.25">
      <c r="A266" s="29">
        <v>255</v>
      </c>
      <c r="B266" s="29" t="s">
        <v>46</v>
      </c>
      <c r="C266" s="29" t="s">
        <v>2181</v>
      </c>
      <c r="D266" s="29" t="s">
        <v>1712</v>
      </c>
      <c r="E266" s="29" t="s">
        <v>1712</v>
      </c>
      <c r="F266" s="29"/>
      <c r="G266" s="29"/>
      <c r="H266" s="29"/>
      <c r="I266" s="29"/>
      <c r="J266" s="13" t="s">
        <v>3126</v>
      </c>
      <c r="K266" s="13" t="s">
        <v>1549</v>
      </c>
      <c r="L266" s="13" t="s">
        <v>2463</v>
      </c>
      <c r="M266" s="15" t="s">
        <v>3814</v>
      </c>
      <c r="N266" s="13" t="s">
        <v>1870</v>
      </c>
      <c r="O266" s="13" t="s">
        <v>1550</v>
      </c>
      <c r="P266" s="29" t="s">
        <v>749</v>
      </c>
      <c r="Q266" s="29" t="s">
        <v>2644</v>
      </c>
      <c r="R266" s="29"/>
      <c r="S266" s="29" t="s">
        <v>751</v>
      </c>
      <c r="T266" s="29" t="s">
        <v>263</v>
      </c>
      <c r="U266" s="29" t="s">
        <v>2813</v>
      </c>
      <c r="V266" s="29"/>
      <c r="W266" s="29" t="s">
        <v>750</v>
      </c>
    </row>
    <row r="267" spans="1:23" x14ac:dyDescent="0.25">
      <c r="A267" s="29">
        <v>308</v>
      </c>
      <c r="B267" s="29" t="s">
        <v>3972</v>
      </c>
      <c r="C267" s="29" t="s">
        <v>3973</v>
      </c>
      <c r="D267" s="29" t="s">
        <v>3570</v>
      </c>
      <c r="E267" s="29" t="s">
        <v>1922</v>
      </c>
      <c r="F267" s="29" t="s">
        <v>3974</v>
      </c>
      <c r="G267" s="29" t="s">
        <v>3975</v>
      </c>
      <c r="H267" s="29" t="s">
        <v>3962</v>
      </c>
      <c r="I267" s="29" t="s">
        <v>3947</v>
      </c>
      <c r="J267" s="13" t="s">
        <v>3976</v>
      </c>
      <c r="K267" s="13" t="s">
        <v>3977</v>
      </c>
      <c r="L267" s="13" t="s">
        <v>3978</v>
      </c>
      <c r="M267" s="15" t="s">
        <v>3979</v>
      </c>
      <c r="N267" s="13" t="s">
        <v>3980</v>
      </c>
      <c r="O267" s="13" t="s">
        <v>3981</v>
      </c>
      <c r="P267" s="29" t="s">
        <v>3982</v>
      </c>
      <c r="Q267" s="29" t="s">
        <v>3983</v>
      </c>
      <c r="R267" s="29" t="s">
        <v>3984</v>
      </c>
      <c r="S267" s="29" t="s">
        <v>3985</v>
      </c>
      <c r="T267" s="29" t="s">
        <v>4050</v>
      </c>
      <c r="U267" s="29" t="s">
        <v>3532</v>
      </c>
      <c r="V267" s="29" t="s">
        <v>421</v>
      </c>
      <c r="W267" s="29" t="s">
        <v>375</v>
      </c>
    </row>
    <row r="268" spans="1:23" x14ac:dyDescent="0.25">
      <c r="A268" s="29">
        <v>256</v>
      </c>
      <c r="B268" s="29" t="s">
        <v>159</v>
      </c>
      <c r="C268" s="29" t="s">
        <v>2182</v>
      </c>
      <c r="D268" s="29" t="s">
        <v>1712</v>
      </c>
      <c r="E268" s="29" t="s">
        <v>1712</v>
      </c>
      <c r="F268" s="29"/>
      <c r="G268" s="29"/>
      <c r="H268" s="29"/>
      <c r="I268" s="29"/>
      <c r="J268" s="13" t="s">
        <v>3127</v>
      </c>
      <c r="K268" s="13" t="s">
        <v>1551</v>
      </c>
      <c r="L268" s="13" t="s">
        <v>2464</v>
      </c>
      <c r="M268" s="15" t="s">
        <v>3815</v>
      </c>
      <c r="N268" s="13" t="s">
        <v>1871</v>
      </c>
      <c r="O268" s="13" t="s">
        <v>1552</v>
      </c>
      <c r="P268" s="29"/>
      <c r="Q268" s="29"/>
      <c r="R268" s="29"/>
      <c r="S268" s="29" t="s">
        <v>979</v>
      </c>
      <c r="T268" s="29" t="s">
        <v>4121</v>
      </c>
      <c r="U268" s="29" t="s">
        <v>4122</v>
      </c>
      <c r="V268" s="29"/>
      <c r="W268" s="29" t="s">
        <v>624</v>
      </c>
    </row>
    <row r="269" spans="1:23" x14ac:dyDescent="0.25">
      <c r="A269" s="29">
        <v>257</v>
      </c>
      <c r="B269" s="29" t="s">
        <v>188</v>
      </c>
      <c r="C269" s="29" t="s">
        <v>2183</v>
      </c>
      <c r="D269" s="29" t="s">
        <v>1712</v>
      </c>
      <c r="E269" s="29" t="s">
        <v>1712</v>
      </c>
      <c r="F269" s="29"/>
      <c r="G269" s="29"/>
      <c r="H269" s="29"/>
      <c r="I269" s="29"/>
      <c r="J269" s="13" t="s">
        <v>3128</v>
      </c>
      <c r="K269" s="13" t="s">
        <v>1553</v>
      </c>
      <c r="L269" s="13" t="s">
        <v>2465</v>
      </c>
      <c r="M269" s="15" t="s">
        <v>3816</v>
      </c>
      <c r="N269" s="13" t="s">
        <v>1872</v>
      </c>
      <c r="O269" s="13" t="s">
        <v>1554</v>
      </c>
      <c r="P269" s="29"/>
      <c r="Q269" s="29"/>
      <c r="R269" s="29"/>
      <c r="S269" s="29" t="s">
        <v>1019</v>
      </c>
      <c r="T269" s="29" t="s">
        <v>350</v>
      </c>
      <c r="U269" s="29" t="s">
        <v>2814</v>
      </c>
      <c r="V269" s="29"/>
      <c r="W269" s="29" t="s">
        <v>756</v>
      </c>
    </row>
    <row r="270" spans="1:23" x14ac:dyDescent="0.25">
      <c r="A270" s="29">
        <v>258</v>
      </c>
      <c r="B270" s="29" t="s">
        <v>480</v>
      </c>
      <c r="C270" s="29" t="s">
        <v>2184</v>
      </c>
      <c r="D270" s="29" t="s">
        <v>1712</v>
      </c>
      <c r="E270" s="29" t="s">
        <v>1712</v>
      </c>
      <c r="F270" s="29"/>
      <c r="G270" s="29"/>
      <c r="H270" s="29"/>
      <c r="I270" s="29"/>
      <c r="J270" s="13" t="s">
        <v>3129</v>
      </c>
      <c r="K270" s="13" t="s">
        <v>1555</v>
      </c>
      <c r="L270" s="13" t="s">
        <v>2466</v>
      </c>
      <c r="M270" s="15" t="s">
        <v>3817</v>
      </c>
      <c r="N270" s="13" t="s">
        <v>1873</v>
      </c>
      <c r="O270" s="13" t="s">
        <v>1556</v>
      </c>
      <c r="P270" s="29" t="s">
        <v>481</v>
      </c>
      <c r="Q270" s="29" t="s">
        <v>2645</v>
      </c>
      <c r="R270" s="29"/>
      <c r="S270" s="29" t="s">
        <v>482</v>
      </c>
      <c r="T270" s="29" t="s">
        <v>4123</v>
      </c>
      <c r="U270" s="29" t="s">
        <v>4124</v>
      </c>
      <c r="V270" s="29"/>
      <c r="W270" s="29" t="s">
        <v>379</v>
      </c>
    </row>
    <row r="271" spans="1:23" x14ac:dyDescent="0.25">
      <c r="A271" s="29">
        <v>259</v>
      </c>
      <c r="B271" s="29" t="s">
        <v>163</v>
      </c>
      <c r="C271" s="29" t="s">
        <v>2185</v>
      </c>
      <c r="D271" s="29" t="s">
        <v>1712</v>
      </c>
      <c r="E271" s="29" t="s">
        <v>1712</v>
      </c>
      <c r="F271" s="29"/>
      <c r="G271" s="29"/>
      <c r="H271" s="29"/>
      <c r="I271" s="29"/>
      <c r="J271" s="13" t="s">
        <v>3130</v>
      </c>
      <c r="K271" s="13" t="s">
        <v>1557</v>
      </c>
      <c r="L271" s="13" t="s">
        <v>2467</v>
      </c>
      <c r="M271" s="15" t="s">
        <v>3818</v>
      </c>
      <c r="N271" s="13" t="s">
        <v>1874</v>
      </c>
      <c r="O271" s="13" t="s">
        <v>1558</v>
      </c>
      <c r="P271" s="29"/>
      <c r="Q271" s="29"/>
      <c r="R271" s="29"/>
      <c r="S271" s="29" t="s">
        <v>719</v>
      </c>
      <c r="T271" s="29" t="s">
        <v>336</v>
      </c>
      <c r="U271" s="29" t="s">
        <v>2815</v>
      </c>
      <c r="V271" s="29"/>
      <c r="W271" s="29" t="s">
        <v>375</v>
      </c>
    </row>
    <row r="272" spans="1:23" x14ac:dyDescent="0.25">
      <c r="A272" s="29">
        <v>260</v>
      </c>
      <c r="B272" s="29" t="s">
        <v>142</v>
      </c>
      <c r="C272" s="29" t="s">
        <v>2186</v>
      </c>
      <c r="D272" s="29" t="s">
        <v>1712</v>
      </c>
      <c r="E272" s="29" t="s">
        <v>1712</v>
      </c>
      <c r="F272" s="29"/>
      <c r="G272" s="29"/>
      <c r="H272" s="29"/>
      <c r="I272" s="29"/>
      <c r="J272" s="13" t="s">
        <v>3131</v>
      </c>
      <c r="K272" s="13" t="s">
        <v>1559</v>
      </c>
      <c r="L272" s="13" t="s">
        <v>2468</v>
      </c>
      <c r="M272" s="15" t="s">
        <v>3819</v>
      </c>
      <c r="N272" s="13" t="s">
        <v>1875</v>
      </c>
      <c r="O272" s="13" t="s">
        <v>1560</v>
      </c>
      <c r="P272" s="29"/>
      <c r="Q272" s="29"/>
      <c r="R272" s="29"/>
      <c r="S272" s="29" t="s">
        <v>960</v>
      </c>
      <c r="T272" s="29" t="s">
        <v>297</v>
      </c>
      <c r="U272" s="29" t="s">
        <v>2816</v>
      </c>
      <c r="V272" s="29"/>
      <c r="W272" s="29" t="s">
        <v>761</v>
      </c>
    </row>
    <row r="273" spans="1:23" x14ac:dyDescent="0.25">
      <c r="A273" s="29">
        <v>261</v>
      </c>
      <c r="B273" s="29" t="s">
        <v>80</v>
      </c>
      <c r="C273" s="29" t="s">
        <v>2187</v>
      </c>
      <c r="D273" s="29" t="s">
        <v>1712</v>
      </c>
      <c r="E273" s="29" t="s">
        <v>1712</v>
      </c>
      <c r="F273" s="29"/>
      <c r="G273" s="29"/>
      <c r="H273" s="29"/>
      <c r="I273" s="29"/>
      <c r="J273" s="13" t="s">
        <v>3132</v>
      </c>
      <c r="K273" s="13" t="s">
        <v>1561</v>
      </c>
      <c r="L273" s="13" t="s">
        <v>2469</v>
      </c>
      <c r="M273" s="15" t="s">
        <v>3820</v>
      </c>
      <c r="N273" s="13" t="s">
        <v>1876</v>
      </c>
      <c r="O273" s="13" t="s">
        <v>1562</v>
      </c>
      <c r="P273" s="29" t="s">
        <v>819</v>
      </c>
      <c r="Q273" s="29" t="s">
        <v>2646</v>
      </c>
      <c r="R273" s="29"/>
      <c r="S273" s="29" t="s">
        <v>821</v>
      </c>
      <c r="T273" s="29" t="s">
        <v>2675</v>
      </c>
      <c r="U273" s="29" t="s">
        <v>2817</v>
      </c>
      <c r="V273" s="29"/>
      <c r="W273" s="29" t="s">
        <v>820</v>
      </c>
    </row>
    <row r="274" spans="1:23" x14ac:dyDescent="0.25">
      <c r="A274" s="29">
        <v>262</v>
      </c>
      <c r="B274" s="29" t="s">
        <v>79</v>
      </c>
      <c r="C274" s="29" t="s">
        <v>2188</v>
      </c>
      <c r="D274" s="29" t="s">
        <v>1712</v>
      </c>
      <c r="E274" s="29" t="s">
        <v>1712</v>
      </c>
      <c r="F274" s="29"/>
      <c r="G274" s="29"/>
      <c r="H274" s="29"/>
      <c r="I274" s="29"/>
      <c r="J274" s="13" t="s">
        <v>1712</v>
      </c>
      <c r="K274" s="13" t="s">
        <v>1712</v>
      </c>
      <c r="L274" s="13" t="s">
        <v>1712</v>
      </c>
      <c r="M274" s="15" t="s">
        <v>1712</v>
      </c>
      <c r="N274" s="13" t="s">
        <v>1712</v>
      </c>
      <c r="O274" s="13" t="s">
        <v>1712</v>
      </c>
      <c r="P274" s="29" t="s">
        <v>816</v>
      </c>
      <c r="Q274" s="29" t="s">
        <v>2647</v>
      </c>
      <c r="R274" s="29"/>
      <c r="S274" s="29" t="s">
        <v>818</v>
      </c>
      <c r="T274" s="29" t="s">
        <v>282</v>
      </c>
      <c r="U274" s="29" t="s">
        <v>2818</v>
      </c>
      <c r="V274" s="29"/>
      <c r="W274" s="29" t="s">
        <v>817</v>
      </c>
    </row>
    <row r="275" spans="1:23" x14ac:dyDescent="0.25">
      <c r="A275" s="29">
        <v>263</v>
      </c>
      <c r="B275" s="29" t="s">
        <v>218</v>
      </c>
      <c r="C275" s="29" t="s">
        <v>2189</v>
      </c>
      <c r="D275" s="29" t="s">
        <v>3606</v>
      </c>
      <c r="E275" s="29" t="s">
        <v>1921</v>
      </c>
      <c r="F275" s="29" t="s">
        <v>3458</v>
      </c>
      <c r="G275" s="29" t="s">
        <v>3325</v>
      </c>
      <c r="H275" s="29" t="s">
        <v>3459</v>
      </c>
      <c r="I275" s="29" t="s">
        <v>3460</v>
      </c>
      <c r="J275" s="13" t="s">
        <v>3133</v>
      </c>
      <c r="K275" s="13" t="s">
        <v>1563</v>
      </c>
      <c r="L275" s="13" t="s">
        <v>2470</v>
      </c>
      <c r="M275" s="15" t="s">
        <v>3821</v>
      </c>
      <c r="N275" s="13" t="s">
        <v>1877</v>
      </c>
      <c r="O275" s="13" t="s">
        <v>1564</v>
      </c>
      <c r="P275" s="29" t="s">
        <v>3461</v>
      </c>
      <c r="Q275" s="29" t="s">
        <v>3462</v>
      </c>
      <c r="R275" s="29" t="s">
        <v>3822</v>
      </c>
      <c r="S275" s="29" t="s">
        <v>1049</v>
      </c>
      <c r="T275" s="29" t="s">
        <v>370</v>
      </c>
      <c r="U275" s="29" t="s">
        <v>2819</v>
      </c>
      <c r="V275" s="29" t="s">
        <v>436</v>
      </c>
      <c r="W275" s="29" t="s">
        <v>380</v>
      </c>
    </row>
    <row r="276" spans="1:23" x14ac:dyDescent="0.25">
      <c r="A276" s="29">
        <v>264</v>
      </c>
      <c r="B276" s="29" t="s">
        <v>485</v>
      </c>
      <c r="C276" s="29" t="s">
        <v>2190</v>
      </c>
      <c r="D276" s="29" t="s">
        <v>3600</v>
      </c>
      <c r="E276" s="29" t="s">
        <v>1922</v>
      </c>
      <c r="F276" s="29" t="s">
        <v>3463</v>
      </c>
      <c r="G276" s="29" t="s">
        <v>3464</v>
      </c>
      <c r="H276" s="29" t="s">
        <v>3465</v>
      </c>
      <c r="I276" s="29" t="s">
        <v>3466</v>
      </c>
      <c r="J276" s="13" t="s">
        <v>3134</v>
      </c>
      <c r="K276" s="13" t="s">
        <v>1565</v>
      </c>
      <c r="L276" s="13" t="s">
        <v>2471</v>
      </c>
      <c r="M276" s="15" t="s">
        <v>3823</v>
      </c>
      <c r="N276" s="13" t="s">
        <v>1878</v>
      </c>
      <c r="O276" s="13" t="s">
        <v>1566</v>
      </c>
      <c r="P276" s="29" t="s">
        <v>3467</v>
      </c>
      <c r="Q276" s="29" t="s">
        <v>3468</v>
      </c>
      <c r="R276" s="29" t="s">
        <v>3469</v>
      </c>
      <c r="S276" s="29" t="s">
        <v>486</v>
      </c>
      <c r="T276" s="29" t="s">
        <v>229</v>
      </c>
      <c r="U276" s="29" t="s">
        <v>2820</v>
      </c>
      <c r="V276" s="29" t="s">
        <v>3470</v>
      </c>
      <c r="W276" s="29" t="s">
        <v>378</v>
      </c>
    </row>
    <row r="277" spans="1:23" x14ac:dyDescent="0.25">
      <c r="A277" s="29">
        <v>265</v>
      </c>
      <c r="B277" s="29" t="s">
        <v>415</v>
      </c>
      <c r="C277" s="29" t="s">
        <v>2191</v>
      </c>
      <c r="D277" s="29" t="s">
        <v>3570</v>
      </c>
      <c r="E277" s="29" t="s">
        <v>1922</v>
      </c>
      <c r="F277" s="29" t="s">
        <v>3471</v>
      </c>
      <c r="G277" s="29" t="s">
        <v>3472</v>
      </c>
      <c r="H277" s="29" t="s">
        <v>3473</v>
      </c>
      <c r="I277" s="29" t="s">
        <v>3474</v>
      </c>
      <c r="J277" s="13" t="s">
        <v>3135</v>
      </c>
      <c r="K277" s="13" t="s">
        <v>1567</v>
      </c>
      <c r="L277" s="13" t="s">
        <v>2472</v>
      </c>
      <c r="M277" s="15" t="s">
        <v>3615</v>
      </c>
      <c r="N277" s="13" t="s">
        <v>1879</v>
      </c>
      <c r="O277" s="13" t="s">
        <v>1568</v>
      </c>
      <c r="P277" s="29" t="s">
        <v>416</v>
      </c>
      <c r="Q277" s="29" t="s">
        <v>2648</v>
      </c>
      <c r="R277" s="29" t="s">
        <v>3475</v>
      </c>
      <c r="S277" s="29" t="s">
        <v>417</v>
      </c>
      <c r="T277" s="29" t="s">
        <v>2676</v>
      </c>
      <c r="U277" s="29" t="s">
        <v>2821</v>
      </c>
      <c r="V277" s="29" t="s">
        <v>418</v>
      </c>
      <c r="W277" s="29" t="s">
        <v>377</v>
      </c>
    </row>
    <row r="278" spans="1:23" x14ac:dyDescent="0.25">
      <c r="A278" s="29">
        <v>318</v>
      </c>
      <c r="B278" s="29" t="s">
        <v>4303</v>
      </c>
      <c r="C278" s="29" t="s">
        <v>4304</v>
      </c>
      <c r="D278" s="29" t="s">
        <v>3629</v>
      </c>
      <c r="E278" s="29" t="s">
        <v>1921</v>
      </c>
      <c r="F278" s="29" t="s">
        <v>4305</v>
      </c>
      <c r="G278" s="29" t="s">
        <v>4306</v>
      </c>
      <c r="H278" s="29" t="s">
        <v>4307</v>
      </c>
      <c r="I278" s="29" t="s">
        <v>4308</v>
      </c>
      <c r="J278" s="13" t="s">
        <v>4309</v>
      </c>
      <c r="K278" s="13" t="s">
        <v>1155</v>
      </c>
      <c r="L278" s="13" t="s">
        <v>4310</v>
      </c>
      <c r="M278" s="15" t="s">
        <v>4311</v>
      </c>
      <c r="N278" s="13" t="s">
        <v>4312</v>
      </c>
      <c r="O278" s="13" t="s">
        <v>4313</v>
      </c>
      <c r="P278" s="29" t="s">
        <v>4314</v>
      </c>
      <c r="Q278" s="29" t="s">
        <v>4315</v>
      </c>
      <c r="R278" s="29" t="s">
        <v>4316</v>
      </c>
      <c r="S278" s="29" t="s">
        <v>4317</v>
      </c>
      <c r="T278" s="29" t="s">
        <v>4099</v>
      </c>
      <c r="U278" s="29" t="s">
        <v>4318</v>
      </c>
      <c r="V278" s="29" t="s">
        <v>445</v>
      </c>
      <c r="W278" s="29" t="s">
        <v>383</v>
      </c>
    </row>
    <row r="279" spans="1:23" x14ac:dyDescent="0.25">
      <c r="A279" s="29">
        <v>266</v>
      </c>
      <c r="B279" s="29" t="s">
        <v>1072</v>
      </c>
      <c r="C279" s="29" t="s">
        <v>2192</v>
      </c>
      <c r="D279" s="29" t="s">
        <v>3622</v>
      </c>
      <c r="E279" s="29" t="s">
        <v>1921</v>
      </c>
      <c r="F279" s="29"/>
      <c r="G279" s="29"/>
      <c r="H279" s="29"/>
      <c r="I279" s="29"/>
      <c r="J279" s="13" t="s">
        <v>3136</v>
      </c>
      <c r="K279" s="13" t="s">
        <v>1569</v>
      </c>
      <c r="L279" s="13" t="s">
        <v>2473</v>
      </c>
      <c r="M279" s="15" t="s">
        <v>3824</v>
      </c>
      <c r="N279" s="13" t="s">
        <v>1880</v>
      </c>
      <c r="O279" s="13" t="s">
        <v>1570</v>
      </c>
      <c r="P279" s="29" t="s">
        <v>462</v>
      </c>
      <c r="Q279" s="29" t="s">
        <v>2649</v>
      </c>
      <c r="R279" s="29"/>
      <c r="S279" s="29" t="s">
        <v>463</v>
      </c>
      <c r="T279" s="29" t="s">
        <v>4048</v>
      </c>
      <c r="U279" s="29" t="s">
        <v>4049</v>
      </c>
      <c r="V279" s="29"/>
      <c r="W279" s="29" t="s">
        <v>377</v>
      </c>
    </row>
    <row r="280" spans="1:23" x14ac:dyDescent="0.25">
      <c r="A280" s="29">
        <v>267</v>
      </c>
      <c r="B280" s="29" t="s">
        <v>217</v>
      </c>
      <c r="C280" s="29" t="s">
        <v>2193</v>
      </c>
      <c r="D280" s="29" t="s">
        <v>3610</v>
      </c>
      <c r="E280" s="29" t="s">
        <v>1921</v>
      </c>
      <c r="F280" s="29" t="s">
        <v>3476</v>
      </c>
      <c r="G280" s="29" t="s">
        <v>3477</v>
      </c>
      <c r="H280" s="29" t="s">
        <v>3478</v>
      </c>
      <c r="I280" s="29" t="s">
        <v>3479</v>
      </c>
      <c r="J280" s="13" t="s">
        <v>3137</v>
      </c>
      <c r="K280" s="13" t="s">
        <v>1571</v>
      </c>
      <c r="L280" s="13" t="s">
        <v>2474</v>
      </c>
      <c r="M280" s="15" t="s">
        <v>3825</v>
      </c>
      <c r="N280" s="13" t="s">
        <v>1881</v>
      </c>
      <c r="O280" s="13" t="s">
        <v>1572</v>
      </c>
      <c r="P280" s="29" t="s">
        <v>3480</v>
      </c>
      <c r="Q280" s="29" t="s">
        <v>3481</v>
      </c>
      <c r="R280" s="29" t="s">
        <v>3482</v>
      </c>
      <c r="S280" s="29" t="s">
        <v>1047</v>
      </c>
      <c r="T280" s="29" t="s">
        <v>369</v>
      </c>
      <c r="U280" s="29" t="s">
        <v>2822</v>
      </c>
      <c r="V280" s="29" t="s">
        <v>421</v>
      </c>
      <c r="W280" s="29" t="s">
        <v>375</v>
      </c>
    </row>
    <row r="281" spans="1:23" x14ac:dyDescent="0.25">
      <c r="A281" s="29">
        <v>268</v>
      </c>
      <c r="B281" s="29" t="s">
        <v>1068</v>
      </c>
      <c r="C281" s="29" t="s">
        <v>2194</v>
      </c>
      <c r="D281" s="29" t="s">
        <v>1712</v>
      </c>
      <c r="E281" s="29" t="s">
        <v>1712</v>
      </c>
      <c r="F281" s="29"/>
      <c r="G281" s="29"/>
      <c r="H281" s="29"/>
      <c r="I281" s="29"/>
      <c r="J281" s="13" t="s">
        <v>3138</v>
      </c>
      <c r="K281" s="13" t="s">
        <v>1573</v>
      </c>
      <c r="L281" s="13" t="s">
        <v>2475</v>
      </c>
      <c r="M281" s="15" t="s">
        <v>3826</v>
      </c>
      <c r="N281" s="13" t="s">
        <v>1882</v>
      </c>
      <c r="O281" s="13" t="s">
        <v>1574</v>
      </c>
      <c r="P281" s="29"/>
      <c r="Q281" s="29"/>
      <c r="R281" s="29"/>
      <c r="S281" s="29" t="s">
        <v>493</v>
      </c>
      <c r="T281" s="29" t="s">
        <v>4125</v>
      </c>
      <c r="U281" s="29" t="s">
        <v>4126</v>
      </c>
      <c r="V281" s="29"/>
      <c r="W281" s="29" t="s">
        <v>388</v>
      </c>
    </row>
    <row r="282" spans="1:23" x14ac:dyDescent="0.25">
      <c r="A282" s="29">
        <v>269</v>
      </c>
      <c r="B282" s="29" t="s">
        <v>152</v>
      </c>
      <c r="C282" s="29" t="s">
        <v>2195</v>
      </c>
      <c r="D282" s="29" t="s">
        <v>3600</v>
      </c>
      <c r="E282" s="29" t="s">
        <v>1922</v>
      </c>
      <c r="F282" s="29" t="s">
        <v>3295</v>
      </c>
      <c r="G282" s="29" t="s">
        <v>3483</v>
      </c>
      <c r="H282" s="29" t="s">
        <v>3484</v>
      </c>
      <c r="I282" s="29" t="s">
        <v>3485</v>
      </c>
      <c r="J282" s="13" t="s">
        <v>3139</v>
      </c>
      <c r="K282" s="13" t="s">
        <v>1575</v>
      </c>
      <c r="L282" s="13" t="s">
        <v>2476</v>
      </c>
      <c r="M282" s="15" t="s">
        <v>3827</v>
      </c>
      <c r="N282" s="13" t="s">
        <v>1883</v>
      </c>
      <c r="O282" s="13" t="s">
        <v>1576</v>
      </c>
      <c r="P282" s="29" t="s">
        <v>3486</v>
      </c>
      <c r="Q282" s="29" t="s">
        <v>3487</v>
      </c>
      <c r="R282" s="29" t="s">
        <v>3488</v>
      </c>
      <c r="S282" s="29" t="s">
        <v>1048</v>
      </c>
      <c r="T282" s="29" t="s">
        <v>288</v>
      </c>
      <c r="U282" s="29" t="s">
        <v>2739</v>
      </c>
      <c r="V282" s="29"/>
      <c r="W282" s="29" t="s">
        <v>377</v>
      </c>
    </row>
    <row r="283" spans="1:23" x14ac:dyDescent="0.25">
      <c r="A283" s="29">
        <v>270</v>
      </c>
      <c r="B283" s="29" t="s">
        <v>99</v>
      </c>
      <c r="C283" s="29" t="s">
        <v>2196</v>
      </c>
      <c r="D283" s="29" t="s">
        <v>1712</v>
      </c>
      <c r="E283" s="29" t="s">
        <v>1712</v>
      </c>
      <c r="F283" s="29"/>
      <c r="G283" s="29"/>
      <c r="H283" s="29"/>
      <c r="I283" s="29"/>
      <c r="J283" s="13" t="s">
        <v>3140</v>
      </c>
      <c r="K283" s="13" t="s">
        <v>1577</v>
      </c>
      <c r="L283" s="13" t="s">
        <v>2477</v>
      </c>
      <c r="M283" s="15" t="s">
        <v>3828</v>
      </c>
      <c r="N283" s="13" t="s">
        <v>1884</v>
      </c>
      <c r="O283" s="13" t="s">
        <v>1578</v>
      </c>
      <c r="P283" s="29"/>
      <c r="Q283" s="29"/>
      <c r="R283" s="29"/>
      <c r="S283" s="29" t="s">
        <v>1006</v>
      </c>
      <c r="T283" s="29" t="s">
        <v>347</v>
      </c>
      <c r="U283" s="29" t="s">
        <v>2823</v>
      </c>
      <c r="V283" s="29"/>
      <c r="W283" s="29" t="s">
        <v>1005</v>
      </c>
    </row>
    <row r="284" spans="1:23" x14ac:dyDescent="0.25">
      <c r="A284" s="29">
        <v>271</v>
      </c>
      <c r="B284" s="29" t="s">
        <v>208</v>
      </c>
      <c r="C284" s="29" t="s">
        <v>2197</v>
      </c>
      <c r="D284" s="29" t="s">
        <v>1712</v>
      </c>
      <c r="E284" s="29" t="s">
        <v>1712</v>
      </c>
      <c r="F284" s="29"/>
      <c r="G284" s="29"/>
      <c r="H284" s="29"/>
      <c r="I284" s="29"/>
      <c r="J284" s="13" t="s">
        <v>3141</v>
      </c>
      <c r="K284" s="13" t="s">
        <v>1579</v>
      </c>
      <c r="L284" s="13" t="s">
        <v>2478</v>
      </c>
      <c r="M284" s="15" t="s">
        <v>3829</v>
      </c>
      <c r="N284" s="13" t="s">
        <v>1885</v>
      </c>
      <c r="O284" s="13" t="s">
        <v>1580</v>
      </c>
      <c r="P284" s="29"/>
      <c r="Q284" s="29"/>
      <c r="R284" s="29"/>
      <c r="S284" s="29" t="s">
        <v>1038</v>
      </c>
      <c r="T284" s="29" t="s">
        <v>362</v>
      </c>
      <c r="U284" s="29" t="s">
        <v>2824</v>
      </c>
      <c r="V284" s="29"/>
      <c r="W284" s="29" t="s">
        <v>1037</v>
      </c>
    </row>
    <row r="285" spans="1:23" x14ac:dyDescent="0.25">
      <c r="A285" s="29">
        <v>272</v>
      </c>
      <c r="B285" s="29" t="s">
        <v>467</v>
      </c>
      <c r="C285" s="29" t="s">
        <v>2198</v>
      </c>
      <c r="D285" s="29" t="s">
        <v>3830</v>
      </c>
      <c r="E285" s="29" t="s">
        <v>1924</v>
      </c>
      <c r="F285" s="29"/>
      <c r="G285" s="29"/>
      <c r="H285" s="29"/>
      <c r="I285" s="29"/>
      <c r="J285" s="13" t="s">
        <v>3142</v>
      </c>
      <c r="K285" s="13" t="s">
        <v>1581</v>
      </c>
      <c r="L285" s="13" t="s">
        <v>2479</v>
      </c>
      <c r="M285" s="15" t="s">
        <v>3831</v>
      </c>
      <c r="N285" s="13" t="s">
        <v>1886</v>
      </c>
      <c r="O285" s="13" t="s">
        <v>1582</v>
      </c>
      <c r="P285" s="29" t="s">
        <v>468</v>
      </c>
      <c r="Q285" s="29" t="s">
        <v>2650</v>
      </c>
      <c r="R285" s="29"/>
      <c r="S285" s="29" t="s">
        <v>469</v>
      </c>
      <c r="T285" s="29" t="s">
        <v>4076</v>
      </c>
      <c r="U285" s="29" t="s">
        <v>4077</v>
      </c>
      <c r="V285" s="29"/>
      <c r="W285" s="29" t="s">
        <v>386</v>
      </c>
    </row>
    <row r="286" spans="1:23" x14ac:dyDescent="0.25">
      <c r="A286" s="29">
        <v>311</v>
      </c>
      <c r="B286" s="29" t="s">
        <v>49</v>
      </c>
      <c r="C286" s="29" t="s">
        <v>2199</v>
      </c>
      <c r="D286" s="29" t="s">
        <v>3622</v>
      </c>
      <c r="E286" s="29" t="s">
        <v>1921</v>
      </c>
      <c r="F286" s="29" t="s">
        <v>4174</v>
      </c>
      <c r="G286" s="29" t="s">
        <v>4175</v>
      </c>
      <c r="H286" s="29" t="s">
        <v>4176</v>
      </c>
      <c r="I286" s="29" t="s">
        <v>4177</v>
      </c>
      <c r="J286" s="13" t="s">
        <v>3143</v>
      </c>
      <c r="K286" s="13" t="s">
        <v>4178</v>
      </c>
      <c r="L286" s="13" t="s">
        <v>4179</v>
      </c>
      <c r="M286" s="15" t="s">
        <v>4180</v>
      </c>
      <c r="N286" s="13" t="s">
        <v>1887</v>
      </c>
      <c r="O286" s="13" t="s">
        <v>4181</v>
      </c>
      <c r="P286" s="29" t="s">
        <v>4182</v>
      </c>
      <c r="Q286" s="29" t="s">
        <v>4183</v>
      </c>
      <c r="R286" s="29" t="s">
        <v>4184</v>
      </c>
      <c r="S286" s="29" t="s">
        <v>4185</v>
      </c>
      <c r="T286" s="29" t="s">
        <v>337</v>
      </c>
      <c r="U286" s="29" t="s">
        <v>4130</v>
      </c>
      <c r="V286" s="29" t="s">
        <v>421</v>
      </c>
      <c r="W286" s="29" t="s">
        <v>375</v>
      </c>
    </row>
    <row r="287" spans="1:23" x14ac:dyDescent="0.25">
      <c r="A287" s="29">
        <v>274</v>
      </c>
      <c r="B287" s="29" t="s">
        <v>86</v>
      </c>
      <c r="C287" s="29" t="s">
        <v>2200</v>
      </c>
      <c r="D287" s="29" t="s">
        <v>3576</v>
      </c>
      <c r="E287" s="29" t="s">
        <v>1921</v>
      </c>
      <c r="F287" s="29"/>
      <c r="G287" s="29"/>
      <c r="H287" s="29"/>
      <c r="I287" s="29"/>
      <c r="J287" s="13" t="s">
        <v>3144</v>
      </c>
      <c r="K287" s="13" t="s">
        <v>1583</v>
      </c>
      <c r="L287" s="13" t="s">
        <v>2480</v>
      </c>
      <c r="M287" s="15" t="s">
        <v>3832</v>
      </c>
      <c r="N287" s="13" t="s">
        <v>1888</v>
      </c>
      <c r="O287" s="13" t="s">
        <v>1584</v>
      </c>
      <c r="P287" s="29" t="s">
        <v>831</v>
      </c>
      <c r="Q287" s="29" t="s">
        <v>2651</v>
      </c>
      <c r="R287" s="29"/>
      <c r="S287" s="29" t="s">
        <v>832</v>
      </c>
      <c r="T287" s="29" t="s">
        <v>285</v>
      </c>
      <c r="U287" s="29" t="s">
        <v>2825</v>
      </c>
      <c r="V287" s="29"/>
      <c r="W287" s="29" t="s">
        <v>820</v>
      </c>
    </row>
    <row r="288" spans="1:23" x14ac:dyDescent="0.25">
      <c r="A288" s="29">
        <v>275</v>
      </c>
      <c r="B288" s="29" t="s">
        <v>620</v>
      </c>
      <c r="C288" s="29" t="s">
        <v>2201</v>
      </c>
      <c r="D288" s="29" t="s">
        <v>3610</v>
      </c>
      <c r="E288" s="29" t="s">
        <v>1921</v>
      </c>
      <c r="F288" s="29"/>
      <c r="G288" s="29"/>
      <c r="H288" s="29"/>
      <c r="I288" s="29"/>
      <c r="J288" s="13" t="s">
        <v>3145</v>
      </c>
      <c r="K288" s="13" t="s">
        <v>1585</v>
      </c>
      <c r="L288" s="13" t="s">
        <v>2481</v>
      </c>
      <c r="M288" s="15" t="s">
        <v>3833</v>
      </c>
      <c r="N288" s="13" t="s">
        <v>1889</v>
      </c>
      <c r="O288" s="13" t="s">
        <v>1586</v>
      </c>
      <c r="P288" s="29"/>
      <c r="Q288" s="29"/>
      <c r="R288" s="29"/>
      <c r="S288" s="29" t="s">
        <v>621</v>
      </c>
      <c r="T288" s="29" t="s">
        <v>2665</v>
      </c>
      <c r="U288" s="29" t="s">
        <v>3248</v>
      </c>
      <c r="V288" s="29"/>
      <c r="W288" s="29" t="s">
        <v>375</v>
      </c>
    </row>
    <row r="289" spans="1:23" x14ac:dyDescent="0.25">
      <c r="A289" s="29">
        <v>276</v>
      </c>
      <c r="B289" s="29" t="s">
        <v>656</v>
      </c>
      <c r="C289" s="29" t="s">
        <v>2202</v>
      </c>
      <c r="D289" s="29" t="s">
        <v>3572</v>
      </c>
      <c r="E289" s="29" t="s">
        <v>1922</v>
      </c>
      <c r="F289" s="29"/>
      <c r="G289" s="29"/>
      <c r="H289" s="29"/>
      <c r="I289" s="29"/>
      <c r="J289" s="13" t="s">
        <v>3146</v>
      </c>
      <c r="K289" s="13" t="s">
        <v>1587</v>
      </c>
      <c r="L289" s="13" t="s">
        <v>2482</v>
      </c>
      <c r="M289" s="15" t="s">
        <v>3834</v>
      </c>
      <c r="N289" s="13" t="s">
        <v>1890</v>
      </c>
      <c r="O289" s="13" t="s">
        <v>1588</v>
      </c>
      <c r="P289" s="29" t="s">
        <v>657</v>
      </c>
      <c r="Q289" s="29" t="s">
        <v>2652</v>
      </c>
      <c r="R289" s="29"/>
      <c r="S289" s="29" t="s">
        <v>658</v>
      </c>
      <c r="T289" s="29" t="s">
        <v>2670</v>
      </c>
      <c r="U289" s="29" t="s">
        <v>2766</v>
      </c>
      <c r="V289" s="29"/>
      <c r="W289" s="29" t="s">
        <v>397</v>
      </c>
    </row>
    <row r="290" spans="1:23" x14ac:dyDescent="0.25">
      <c r="A290" s="29">
        <v>277</v>
      </c>
      <c r="B290" s="29" t="s">
        <v>179</v>
      </c>
      <c r="C290" s="29" t="s">
        <v>2203</v>
      </c>
      <c r="D290" s="29" t="s">
        <v>3622</v>
      </c>
      <c r="E290" s="29" t="s">
        <v>1921</v>
      </c>
      <c r="F290" s="29" t="s">
        <v>3489</v>
      </c>
      <c r="G290" s="29" t="s">
        <v>3490</v>
      </c>
      <c r="H290" s="29" t="s">
        <v>3491</v>
      </c>
      <c r="I290" s="29" t="s">
        <v>3492</v>
      </c>
      <c r="J290" s="13" t="s">
        <v>3147</v>
      </c>
      <c r="K290" s="13" t="s">
        <v>1589</v>
      </c>
      <c r="L290" s="13" t="s">
        <v>2483</v>
      </c>
      <c r="M290" s="15" t="s">
        <v>3835</v>
      </c>
      <c r="N290" s="13" t="s">
        <v>1891</v>
      </c>
      <c r="O290" s="13" t="s">
        <v>1590</v>
      </c>
      <c r="P290" s="29" t="s">
        <v>3493</v>
      </c>
      <c r="Q290" s="29" t="s">
        <v>3494</v>
      </c>
      <c r="R290" s="29" t="s">
        <v>3495</v>
      </c>
      <c r="S290" s="29" t="s">
        <v>1010</v>
      </c>
      <c r="T290" s="29" t="s">
        <v>344</v>
      </c>
      <c r="U290" s="29" t="s">
        <v>2632</v>
      </c>
      <c r="V290" s="29" t="s">
        <v>438</v>
      </c>
      <c r="W290" s="29" t="s">
        <v>381</v>
      </c>
    </row>
    <row r="291" spans="1:23" x14ac:dyDescent="0.25">
      <c r="A291" s="29">
        <v>278</v>
      </c>
      <c r="B291" s="29" t="s">
        <v>726</v>
      </c>
      <c r="C291" s="29" t="s">
        <v>2204</v>
      </c>
      <c r="D291" s="29" t="s">
        <v>1712</v>
      </c>
      <c r="E291" s="29" t="s">
        <v>1712</v>
      </c>
      <c r="F291" s="29"/>
      <c r="G291" s="29"/>
      <c r="H291" s="29"/>
      <c r="I291" s="29"/>
      <c r="J291" s="13" t="s">
        <v>3176</v>
      </c>
      <c r="K291" s="13" t="s">
        <v>1591</v>
      </c>
      <c r="L291" s="13" t="s">
        <v>2484</v>
      </c>
      <c r="M291" s="15" t="s">
        <v>3836</v>
      </c>
      <c r="N291" s="13" t="s">
        <v>1892</v>
      </c>
      <c r="O291" s="13" t="s">
        <v>1592</v>
      </c>
      <c r="P291" s="29" t="s">
        <v>727</v>
      </c>
      <c r="Q291" s="29" t="s">
        <v>2653</v>
      </c>
      <c r="R291" s="29"/>
      <c r="S291" s="29" t="s">
        <v>728</v>
      </c>
      <c r="T291" s="29" t="s">
        <v>260</v>
      </c>
      <c r="U291" s="29" t="s">
        <v>2826</v>
      </c>
      <c r="V291" s="29"/>
      <c r="W291" s="29" t="s">
        <v>375</v>
      </c>
    </row>
    <row r="292" spans="1:23" x14ac:dyDescent="0.25">
      <c r="A292" s="29">
        <v>279</v>
      </c>
      <c r="B292" s="29" t="s">
        <v>63</v>
      </c>
      <c r="C292" s="29" t="s">
        <v>2205</v>
      </c>
      <c r="D292" s="29" t="s">
        <v>3594</v>
      </c>
      <c r="E292" s="29" t="s">
        <v>1923</v>
      </c>
      <c r="F292" s="29"/>
      <c r="G292" s="29"/>
      <c r="H292" s="29"/>
      <c r="I292" s="29"/>
      <c r="J292" s="13" t="s">
        <v>1667</v>
      </c>
      <c r="K292" s="13" t="s">
        <v>1667</v>
      </c>
      <c r="L292" s="13" t="s">
        <v>1667</v>
      </c>
      <c r="N292" s="13" t="s">
        <v>1893</v>
      </c>
      <c r="O292" s="13" t="s">
        <v>1593</v>
      </c>
      <c r="P292" s="29" t="s">
        <v>529</v>
      </c>
      <c r="Q292" s="29" t="s">
        <v>2654</v>
      </c>
      <c r="R292" s="29"/>
      <c r="S292" s="29" t="s">
        <v>782</v>
      </c>
      <c r="T292" s="29" t="s">
        <v>4127</v>
      </c>
      <c r="U292" s="29" t="s">
        <v>4128</v>
      </c>
      <c r="V292" s="29"/>
      <c r="W292" s="29" t="s">
        <v>394</v>
      </c>
    </row>
    <row r="293" spans="1:23" x14ac:dyDescent="0.25">
      <c r="A293" s="29">
        <v>309</v>
      </c>
      <c r="B293" s="29" t="s">
        <v>1069</v>
      </c>
      <c r="C293" s="29" t="s">
        <v>3986</v>
      </c>
      <c r="D293" s="29" t="s">
        <v>3707</v>
      </c>
      <c r="E293" s="29" t="s">
        <v>1924</v>
      </c>
      <c r="F293" s="29" t="s">
        <v>3987</v>
      </c>
      <c r="G293" s="29" t="s">
        <v>3988</v>
      </c>
      <c r="H293" s="29" t="s">
        <v>3947</v>
      </c>
      <c r="I293" s="29" t="s">
        <v>3962</v>
      </c>
      <c r="J293" s="13" t="s">
        <v>3989</v>
      </c>
      <c r="K293" s="13" t="s">
        <v>3530</v>
      </c>
      <c r="L293" s="13" t="s">
        <v>3990</v>
      </c>
      <c r="M293" s="15" t="s">
        <v>3837</v>
      </c>
      <c r="N293" s="13" t="s">
        <v>1894</v>
      </c>
      <c r="O293" s="13" t="s">
        <v>3531</v>
      </c>
      <c r="P293" s="29" t="s">
        <v>3991</v>
      </c>
      <c r="Q293" s="29" t="s">
        <v>3992</v>
      </c>
      <c r="R293" s="29" t="s">
        <v>3993</v>
      </c>
      <c r="S293" s="29" t="s">
        <v>3994</v>
      </c>
      <c r="T293" s="29" t="s">
        <v>4129</v>
      </c>
      <c r="U293" s="29" t="s">
        <v>4130</v>
      </c>
      <c r="V293" s="29" t="s">
        <v>421</v>
      </c>
      <c r="W293" s="29" t="s">
        <v>375</v>
      </c>
    </row>
    <row r="294" spans="1:23" x14ac:dyDescent="0.25">
      <c r="A294" s="29">
        <v>281</v>
      </c>
      <c r="B294" s="29" t="s">
        <v>411</v>
      </c>
      <c r="C294" s="29" t="s">
        <v>2206</v>
      </c>
      <c r="D294" s="29" t="s">
        <v>3570</v>
      </c>
      <c r="E294" s="29" t="s">
        <v>1922</v>
      </c>
      <c r="F294" s="29"/>
      <c r="G294" s="29"/>
      <c r="H294" s="29"/>
      <c r="I294" s="29"/>
      <c r="J294" s="13" t="s">
        <v>3148</v>
      </c>
      <c r="K294" s="13" t="s">
        <v>1594</v>
      </c>
      <c r="L294" s="13" t="s">
        <v>2485</v>
      </c>
      <c r="M294" s="15" t="s">
        <v>3838</v>
      </c>
      <c r="N294" s="13" t="s">
        <v>1895</v>
      </c>
      <c r="O294" s="13" t="s">
        <v>1595</v>
      </c>
      <c r="P294" s="29" t="s">
        <v>412</v>
      </c>
      <c r="Q294" s="29" t="s">
        <v>2655</v>
      </c>
      <c r="R294" s="29"/>
      <c r="S294" s="29" t="s">
        <v>413</v>
      </c>
      <c r="T294" s="29" t="s">
        <v>223</v>
      </c>
      <c r="U294" s="29" t="s">
        <v>2827</v>
      </c>
      <c r="V294" s="29"/>
      <c r="W294" s="29" t="s">
        <v>376</v>
      </c>
    </row>
    <row r="295" spans="1:23" x14ac:dyDescent="0.25">
      <c r="A295" s="29">
        <v>282</v>
      </c>
      <c r="B295" s="29" t="s">
        <v>683</v>
      </c>
      <c r="C295" s="29" t="s">
        <v>2207</v>
      </c>
      <c r="D295" s="29" t="s">
        <v>1712</v>
      </c>
      <c r="E295" s="29" t="s">
        <v>1712</v>
      </c>
      <c r="F295" s="29"/>
      <c r="G295" s="29"/>
      <c r="H295" s="29"/>
      <c r="I295" s="29"/>
      <c r="J295" s="13" t="s">
        <v>3149</v>
      </c>
      <c r="K295" s="13" t="s">
        <v>1596</v>
      </c>
      <c r="L295" s="13" t="s">
        <v>2486</v>
      </c>
      <c r="M295" s="15" t="s">
        <v>3839</v>
      </c>
      <c r="N295" s="13" t="s">
        <v>1896</v>
      </c>
      <c r="O295" s="13" t="s">
        <v>1597</v>
      </c>
      <c r="P295" s="29" t="s">
        <v>684</v>
      </c>
      <c r="Q295" s="29" t="s">
        <v>2656</v>
      </c>
      <c r="R295" s="29"/>
      <c r="S295" s="29" t="s">
        <v>685</v>
      </c>
      <c r="T295" s="29" t="s">
        <v>2677</v>
      </c>
      <c r="U295" s="29" t="s">
        <v>2828</v>
      </c>
      <c r="V295" s="29"/>
      <c r="W295" s="29" t="s">
        <v>375</v>
      </c>
    </row>
    <row r="296" spans="1:23" x14ac:dyDescent="0.25">
      <c r="A296" s="29">
        <v>283</v>
      </c>
      <c r="B296" s="29" t="s">
        <v>1070</v>
      </c>
      <c r="C296" s="29" t="s">
        <v>2208</v>
      </c>
      <c r="D296" s="29" t="s">
        <v>1712</v>
      </c>
      <c r="E296" s="29" t="s">
        <v>1712</v>
      </c>
      <c r="F296" s="29"/>
      <c r="G296" s="29"/>
      <c r="H296" s="29"/>
      <c r="I296" s="29"/>
      <c r="J296" s="13" t="s">
        <v>3150</v>
      </c>
      <c r="K296" s="13" t="s">
        <v>1598</v>
      </c>
      <c r="L296" s="13" t="s">
        <v>2487</v>
      </c>
      <c r="M296" s="15" t="s">
        <v>3840</v>
      </c>
      <c r="N296" s="13" t="s">
        <v>1897</v>
      </c>
      <c r="O296" s="13" t="s">
        <v>1599</v>
      </c>
      <c r="P296" s="29"/>
      <c r="Q296" s="29"/>
      <c r="R296" s="29"/>
      <c r="S296" s="29" t="s">
        <v>970</v>
      </c>
      <c r="T296" s="29" t="s">
        <v>331</v>
      </c>
      <c r="U296" s="29" t="s">
        <v>2829</v>
      </c>
      <c r="V296" s="29"/>
      <c r="W296" s="29" t="s">
        <v>374</v>
      </c>
    </row>
    <row r="297" spans="1:23" x14ac:dyDescent="0.25">
      <c r="A297" s="29">
        <v>284</v>
      </c>
      <c r="B297" s="29" t="s">
        <v>572</v>
      </c>
      <c r="C297" s="29" t="s">
        <v>2209</v>
      </c>
      <c r="D297" s="29" t="s">
        <v>1712</v>
      </c>
      <c r="E297" s="29" t="s">
        <v>1712</v>
      </c>
      <c r="F297" s="29"/>
      <c r="G297" s="29"/>
      <c r="H297" s="29"/>
      <c r="I297" s="29"/>
      <c r="J297" s="13" t="s">
        <v>3151</v>
      </c>
      <c r="K297" s="13" t="s">
        <v>1600</v>
      </c>
      <c r="L297" s="13" t="s">
        <v>2488</v>
      </c>
      <c r="M297" s="15" t="s">
        <v>3841</v>
      </c>
      <c r="N297" s="13" t="s">
        <v>1898</v>
      </c>
      <c r="O297" s="13" t="s">
        <v>1601</v>
      </c>
      <c r="P297" s="29"/>
      <c r="Q297" s="29"/>
      <c r="R297" s="29"/>
      <c r="S297" s="29" t="s">
        <v>573</v>
      </c>
      <c r="T297" s="29" t="s">
        <v>4042</v>
      </c>
      <c r="U297" s="29" t="s">
        <v>4043</v>
      </c>
      <c r="V297" s="29"/>
      <c r="W297" s="29" t="s">
        <v>375</v>
      </c>
    </row>
    <row r="298" spans="1:23" x14ac:dyDescent="0.25">
      <c r="A298" s="29">
        <v>285</v>
      </c>
      <c r="B298" s="29" t="s">
        <v>475</v>
      </c>
      <c r="C298" s="29" t="s">
        <v>2210</v>
      </c>
      <c r="D298" s="29" t="s">
        <v>1712</v>
      </c>
      <c r="E298" s="29" t="s">
        <v>1712</v>
      </c>
      <c r="F298" s="29"/>
      <c r="G298" s="29"/>
      <c r="H298" s="29"/>
      <c r="I298" s="29"/>
      <c r="J298" s="13" t="s">
        <v>3152</v>
      </c>
      <c r="K298" s="13" t="s">
        <v>1602</v>
      </c>
      <c r="L298" s="13" t="s">
        <v>2489</v>
      </c>
      <c r="M298" s="15" t="s">
        <v>3842</v>
      </c>
      <c r="N298" s="13" t="s">
        <v>1899</v>
      </c>
      <c r="O298" s="13" t="s">
        <v>1603</v>
      </c>
      <c r="P298" s="29" t="s">
        <v>476</v>
      </c>
      <c r="Q298" s="29" t="s">
        <v>2657</v>
      </c>
      <c r="R298" s="29"/>
      <c r="S298" s="29" t="s">
        <v>477</v>
      </c>
      <c r="T298" s="29" t="s">
        <v>227</v>
      </c>
      <c r="U298" s="29" t="s">
        <v>2830</v>
      </c>
      <c r="V298" s="29"/>
      <c r="W298" s="29" t="s">
        <v>375</v>
      </c>
    </row>
    <row r="299" spans="1:23" x14ac:dyDescent="0.25">
      <c r="A299" s="29">
        <v>286</v>
      </c>
      <c r="B299" s="29" t="s">
        <v>532</v>
      </c>
      <c r="C299" s="29" t="s">
        <v>2211</v>
      </c>
      <c r="D299" s="29" t="s">
        <v>1712</v>
      </c>
      <c r="E299" s="29" t="s">
        <v>1712</v>
      </c>
      <c r="F299" s="29"/>
      <c r="G299" s="29"/>
      <c r="H299" s="29"/>
      <c r="I299" s="29"/>
      <c r="J299" s="13" t="s">
        <v>3153</v>
      </c>
      <c r="K299" s="13" t="s">
        <v>1604</v>
      </c>
      <c r="L299" s="13" t="s">
        <v>2490</v>
      </c>
      <c r="M299" s="15" t="s">
        <v>3843</v>
      </c>
      <c r="N299" s="13" t="s">
        <v>1900</v>
      </c>
      <c r="O299" s="13" t="s">
        <v>1605</v>
      </c>
      <c r="P299" s="29" t="s">
        <v>533</v>
      </c>
      <c r="Q299" s="29" t="s">
        <v>2658</v>
      </c>
      <c r="R299" s="29"/>
      <c r="S299" s="29" t="s">
        <v>534</v>
      </c>
      <c r="T299" s="29" t="s">
        <v>235</v>
      </c>
      <c r="U299" s="29" t="s">
        <v>2831</v>
      </c>
      <c r="V299" s="29"/>
      <c r="W299" s="29" t="s">
        <v>395</v>
      </c>
    </row>
    <row r="300" spans="1:23" x14ac:dyDescent="0.25">
      <c r="A300" s="29">
        <v>287</v>
      </c>
      <c r="B300" s="29" t="s">
        <v>574</v>
      </c>
      <c r="C300" s="29" t="s">
        <v>2212</v>
      </c>
      <c r="D300" s="29" t="s">
        <v>1712</v>
      </c>
      <c r="E300" s="29" t="s">
        <v>1712</v>
      </c>
      <c r="F300" s="29"/>
      <c r="G300" s="29"/>
      <c r="H300" s="29"/>
      <c r="I300" s="29"/>
      <c r="J300" s="13" t="s">
        <v>3154</v>
      </c>
      <c r="K300" s="13" t="s">
        <v>1606</v>
      </c>
      <c r="L300" s="13" t="s">
        <v>2491</v>
      </c>
      <c r="M300" s="15" t="s">
        <v>3844</v>
      </c>
      <c r="N300" s="13" t="s">
        <v>1901</v>
      </c>
      <c r="O300" s="13" t="s">
        <v>1607</v>
      </c>
      <c r="P300" s="29"/>
      <c r="Q300" s="29"/>
      <c r="R300" s="29"/>
      <c r="S300" s="29" t="s">
        <v>575</v>
      </c>
      <c r="T300" s="29" t="s">
        <v>2678</v>
      </c>
      <c r="U300" s="29" t="s">
        <v>2832</v>
      </c>
      <c r="V300" s="29"/>
      <c r="W300" s="29" t="s">
        <v>398</v>
      </c>
    </row>
    <row r="301" spans="1:23" x14ac:dyDescent="0.25">
      <c r="A301" s="29">
        <v>288</v>
      </c>
      <c r="B301" s="29" t="s">
        <v>169</v>
      </c>
      <c r="C301" s="29" t="s">
        <v>2213</v>
      </c>
      <c r="D301" s="29" t="s">
        <v>1712</v>
      </c>
      <c r="E301" s="29" t="s">
        <v>1712</v>
      </c>
      <c r="F301" s="29"/>
      <c r="G301" s="29"/>
      <c r="H301" s="29"/>
      <c r="I301" s="29"/>
      <c r="J301" s="13" t="s">
        <v>3155</v>
      </c>
      <c r="K301" s="13" t="s">
        <v>1608</v>
      </c>
      <c r="L301" s="13" t="s">
        <v>2492</v>
      </c>
      <c r="M301" s="15" t="s">
        <v>3845</v>
      </c>
      <c r="N301" s="13" t="s">
        <v>1902</v>
      </c>
      <c r="O301" s="13" t="s">
        <v>1609</v>
      </c>
      <c r="P301" s="29"/>
      <c r="Q301" s="29"/>
      <c r="R301" s="29"/>
      <c r="S301" s="29" t="s">
        <v>989</v>
      </c>
      <c r="T301" s="29" t="s">
        <v>4131</v>
      </c>
      <c r="U301" s="29" t="s">
        <v>4132</v>
      </c>
      <c r="V301" s="29"/>
      <c r="W301" s="29" t="s">
        <v>988</v>
      </c>
    </row>
    <row r="302" spans="1:23" x14ac:dyDescent="0.25">
      <c r="A302" s="29">
        <v>289</v>
      </c>
      <c r="B302" s="29" t="s">
        <v>680</v>
      </c>
      <c r="C302" s="29" t="s">
        <v>2214</v>
      </c>
      <c r="D302" s="29" t="s">
        <v>3566</v>
      </c>
      <c r="E302" s="29" t="s">
        <v>1921</v>
      </c>
      <c r="F302" s="29"/>
      <c r="G302" s="29"/>
      <c r="H302" s="29"/>
      <c r="I302" s="29"/>
      <c r="J302" s="13" t="s">
        <v>3156</v>
      </c>
      <c r="K302" s="13" t="s">
        <v>1610</v>
      </c>
      <c r="L302" s="13" t="s">
        <v>2493</v>
      </c>
      <c r="M302" s="15" t="s">
        <v>3846</v>
      </c>
      <c r="N302" s="13" t="s">
        <v>1903</v>
      </c>
      <c r="O302" s="13" t="s">
        <v>1611</v>
      </c>
      <c r="P302" s="29" t="s">
        <v>681</v>
      </c>
      <c r="Q302" s="29" t="s">
        <v>2659</v>
      </c>
      <c r="R302" s="29"/>
      <c r="S302" s="29" t="s">
        <v>682</v>
      </c>
      <c r="T302" s="29" t="s">
        <v>256</v>
      </c>
      <c r="U302" s="29" t="s">
        <v>2833</v>
      </c>
      <c r="V302" s="29"/>
      <c r="W302" s="29" t="s">
        <v>379</v>
      </c>
    </row>
    <row r="303" spans="1:23" x14ac:dyDescent="0.25">
      <c r="A303" s="29">
        <v>290</v>
      </c>
      <c r="B303" s="29" t="s">
        <v>588</v>
      </c>
      <c r="C303" s="29" t="s">
        <v>2215</v>
      </c>
      <c r="D303" s="29" t="s">
        <v>1712</v>
      </c>
      <c r="E303" s="29" t="s">
        <v>1712</v>
      </c>
      <c r="F303" s="29"/>
      <c r="G303" s="29"/>
      <c r="H303" s="29"/>
      <c r="I303" s="29"/>
      <c r="J303" s="13" t="s">
        <v>3157</v>
      </c>
      <c r="K303" s="13" t="s">
        <v>1612</v>
      </c>
      <c r="L303" s="13" t="s">
        <v>2494</v>
      </c>
      <c r="M303" s="15" t="s">
        <v>3847</v>
      </c>
      <c r="N303" s="13" t="s">
        <v>1904</v>
      </c>
      <c r="O303" s="13" t="s">
        <v>1613</v>
      </c>
      <c r="P303" s="29"/>
      <c r="Q303" s="29"/>
      <c r="R303" s="29"/>
      <c r="S303" s="29" t="s">
        <v>590</v>
      </c>
      <c r="T303" s="29" t="s">
        <v>244</v>
      </c>
      <c r="U303" s="29" t="s">
        <v>2834</v>
      </c>
      <c r="V303" s="29"/>
      <c r="W303" s="29" t="s">
        <v>589</v>
      </c>
    </row>
    <row r="304" spans="1:23" x14ac:dyDescent="0.25">
      <c r="A304" s="29">
        <v>291</v>
      </c>
      <c r="B304" s="29" t="s">
        <v>592</v>
      </c>
      <c r="C304" s="29" t="s">
        <v>2216</v>
      </c>
      <c r="D304" s="29" t="s">
        <v>1712</v>
      </c>
      <c r="E304" s="29" t="s">
        <v>1712</v>
      </c>
      <c r="F304" s="29"/>
      <c r="G304" s="29"/>
      <c r="H304" s="29"/>
      <c r="I304" s="29"/>
      <c r="J304" s="13" t="s">
        <v>3158</v>
      </c>
      <c r="K304" s="13" t="s">
        <v>1614</v>
      </c>
      <c r="L304" s="13" t="s">
        <v>2495</v>
      </c>
      <c r="M304" s="15" t="s">
        <v>3848</v>
      </c>
      <c r="N304" s="13" t="s">
        <v>1905</v>
      </c>
      <c r="O304" s="13" t="s">
        <v>1615</v>
      </c>
      <c r="P304" s="29" t="s">
        <v>593</v>
      </c>
      <c r="Q304" s="29" t="s">
        <v>2660</v>
      </c>
      <c r="R304" s="29"/>
      <c r="S304" s="29" t="s">
        <v>594</v>
      </c>
      <c r="T304" s="29" t="s">
        <v>245</v>
      </c>
      <c r="U304" s="29" t="s">
        <v>2835</v>
      </c>
      <c r="V304" s="29"/>
      <c r="W304" s="29" t="s">
        <v>375</v>
      </c>
    </row>
    <row r="305" spans="1:23" x14ac:dyDescent="0.25">
      <c r="A305" s="29">
        <v>292</v>
      </c>
      <c r="B305" s="29" t="s">
        <v>1071</v>
      </c>
      <c r="C305" s="29" t="s">
        <v>2217</v>
      </c>
      <c r="D305" s="29" t="s">
        <v>3563</v>
      </c>
      <c r="E305" s="29" t="s">
        <v>1923</v>
      </c>
      <c r="F305" s="29" t="s">
        <v>3496</v>
      </c>
      <c r="G305" s="29" t="s">
        <v>3497</v>
      </c>
      <c r="H305" s="29" t="s">
        <v>3498</v>
      </c>
      <c r="I305" s="29" t="s">
        <v>3499</v>
      </c>
      <c r="J305" s="13" t="s">
        <v>3500</v>
      </c>
      <c r="K305" s="13" t="s">
        <v>3501</v>
      </c>
      <c r="L305" s="13" t="s">
        <v>3502</v>
      </c>
      <c r="M305" s="15" t="s">
        <v>3849</v>
      </c>
      <c r="N305" s="13" t="s">
        <v>1906</v>
      </c>
      <c r="O305" s="13" t="s">
        <v>1616</v>
      </c>
      <c r="P305" s="29" t="s">
        <v>511</v>
      </c>
      <c r="Q305" s="29" t="s">
        <v>2661</v>
      </c>
      <c r="R305" s="29" t="s">
        <v>3503</v>
      </c>
      <c r="S305" s="29" t="s">
        <v>410</v>
      </c>
      <c r="T305" s="29" t="s">
        <v>2665</v>
      </c>
      <c r="U305" s="29" t="s">
        <v>3248</v>
      </c>
      <c r="V305" s="29" t="s">
        <v>421</v>
      </c>
      <c r="W305" s="29" t="s">
        <v>375</v>
      </c>
    </row>
    <row r="306" spans="1:23" x14ac:dyDescent="0.25">
      <c r="A306" s="29">
        <v>293</v>
      </c>
      <c r="B306" s="29" t="s">
        <v>193</v>
      </c>
      <c r="C306" s="29" t="s">
        <v>2218</v>
      </c>
      <c r="D306" s="29" t="s">
        <v>1712</v>
      </c>
      <c r="E306" s="29" t="s">
        <v>1712</v>
      </c>
      <c r="F306" s="29"/>
      <c r="G306" s="29"/>
      <c r="H306" s="29"/>
      <c r="I306" s="29"/>
      <c r="J306" s="13" t="s">
        <v>3159</v>
      </c>
      <c r="K306" s="13" t="s">
        <v>1287</v>
      </c>
      <c r="L306" s="13" t="s">
        <v>2340</v>
      </c>
      <c r="M306" s="15" t="s">
        <v>3850</v>
      </c>
      <c r="N306" s="13" t="s">
        <v>1907</v>
      </c>
      <c r="O306" s="13" t="s">
        <v>1617</v>
      </c>
      <c r="P306" s="29"/>
      <c r="Q306" s="29"/>
      <c r="R306" s="29"/>
      <c r="S306" s="29" t="s">
        <v>1023</v>
      </c>
      <c r="T306" s="29" t="s">
        <v>343</v>
      </c>
      <c r="U306" s="29" t="s">
        <v>2744</v>
      </c>
      <c r="V306" s="29"/>
      <c r="W306" s="29" t="s">
        <v>717</v>
      </c>
    </row>
    <row r="307" spans="1:23" x14ac:dyDescent="0.25">
      <c r="A307" s="29">
        <v>294</v>
      </c>
      <c r="B307" s="29" t="s">
        <v>165</v>
      </c>
      <c r="C307" s="29" t="s">
        <v>2219</v>
      </c>
      <c r="D307" s="29" t="s">
        <v>1712</v>
      </c>
      <c r="E307" s="29" t="s">
        <v>1712</v>
      </c>
      <c r="F307" s="29"/>
      <c r="G307" s="29"/>
      <c r="H307" s="29"/>
      <c r="I307" s="29"/>
      <c r="J307" s="13" t="s">
        <v>3160</v>
      </c>
      <c r="K307" s="13" t="s">
        <v>1618</v>
      </c>
      <c r="L307" s="13" t="s">
        <v>2496</v>
      </c>
      <c r="M307" s="15" t="s">
        <v>3851</v>
      </c>
      <c r="N307" s="13" t="s">
        <v>1908</v>
      </c>
      <c r="O307" s="13" t="s">
        <v>1619</v>
      </c>
      <c r="P307" s="29"/>
      <c r="Q307" s="29"/>
      <c r="R307" s="29"/>
      <c r="S307" s="29" t="s">
        <v>984</v>
      </c>
      <c r="T307" s="29" t="s">
        <v>338</v>
      </c>
      <c r="U307" s="29" t="s">
        <v>2836</v>
      </c>
      <c r="V307" s="29"/>
      <c r="W307" s="29" t="s">
        <v>393</v>
      </c>
    </row>
    <row r="308" spans="1:23" x14ac:dyDescent="0.25">
      <c r="A308" s="29">
        <v>295</v>
      </c>
      <c r="B308" s="29" t="s">
        <v>504</v>
      </c>
      <c r="C308" s="29" t="s">
        <v>2220</v>
      </c>
      <c r="D308" s="29" t="s">
        <v>1712</v>
      </c>
      <c r="E308" s="29" t="s">
        <v>1712</v>
      </c>
      <c r="F308" s="29"/>
      <c r="G308" s="29"/>
      <c r="H308" s="29"/>
      <c r="I308" s="29"/>
      <c r="J308" s="13" t="s">
        <v>3161</v>
      </c>
      <c r="K308" s="13" t="s">
        <v>1620</v>
      </c>
      <c r="L308" s="13" t="s">
        <v>2497</v>
      </c>
      <c r="M308" s="15" t="s">
        <v>3852</v>
      </c>
      <c r="N308" s="13" t="s">
        <v>1909</v>
      </c>
      <c r="O308" s="13" t="s">
        <v>1621</v>
      </c>
      <c r="P308" s="29"/>
      <c r="Q308" s="29"/>
      <c r="R308" s="29"/>
      <c r="S308" s="29" t="s">
        <v>505</v>
      </c>
      <c r="T308" s="29" t="s">
        <v>4133</v>
      </c>
      <c r="U308" s="29" t="s">
        <v>4134</v>
      </c>
      <c r="V308" s="29"/>
      <c r="W308" s="29" t="s">
        <v>375</v>
      </c>
    </row>
    <row r="309" spans="1:23" x14ac:dyDescent="0.25">
      <c r="A309" s="29">
        <v>296</v>
      </c>
      <c r="B309" s="29" t="s">
        <v>130</v>
      </c>
      <c r="C309" s="29" t="s">
        <v>2221</v>
      </c>
      <c r="D309" s="29" t="s">
        <v>3596</v>
      </c>
      <c r="E309" s="29" t="s">
        <v>1922</v>
      </c>
      <c r="F309" s="29" t="s">
        <v>3504</v>
      </c>
      <c r="G309" s="29" t="s">
        <v>3505</v>
      </c>
      <c r="H309" s="29" t="s">
        <v>3506</v>
      </c>
      <c r="I309" s="29" t="s">
        <v>3507</v>
      </c>
      <c r="J309" s="13" t="s">
        <v>3508</v>
      </c>
      <c r="K309" s="13" t="s">
        <v>3509</v>
      </c>
      <c r="L309" s="13" t="s">
        <v>3510</v>
      </c>
      <c r="M309" s="15" t="s">
        <v>3511</v>
      </c>
      <c r="N309" s="13" t="s">
        <v>1910</v>
      </c>
      <c r="O309" s="13" t="s">
        <v>1622</v>
      </c>
      <c r="P309" s="29" t="s">
        <v>3512</v>
      </c>
      <c r="Q309" s="29"/>
      <c r="R309" s="29" t="s">
        <v>3513</v>
      </c>
      <c r="S309" s="29" t="s">
        <v>933</v>
      </c>
      <c r="T309" s="29" t="s">
        <v>371</v>
      </c>
      <c r="U309" s="29" t="s">
        <v>2837</v>
      </c>
      <c r="V309" s="29"/>
      <c r="W309" s="29" t="s">
        <v>375</v>
      </c>
    </row>
    <row r="310" spans="1:23" x14ac:dyDescent="0.25">
      <c r="A310" s="29">
        <v>297</v>
      </c>
      <c r="B310" s="29" t="s">
        <v>429</v>
      </c>
      <c r="C310" s="29" t="s">
        <v>2222</v>
      </c>
      <c r="D310" s="29" t="s">
        <v>3610</v>
      </c>
      <c r="E310" s="29" t="s">
        <v>1921</v>
      </c>
      <c r="F310" s="29"/>
      <c r="G310" s="29"/>
      <c r="H310" s="29"/>
      <c r="I310" s="29"/>
      <c r="J310" s="13" t="s">
        <v>3162</v>
      </c>
      <c r="K310" s="13" t="s">
        <v>1623</v>
      </c>
      <c r="L310" s="13" t="s">
        <v>2498</v>
      </c>
      <c r="M310" s="15" t="s">
        <v>3853</v>
      </c>
      <c r="N310" s="13" t="s">
        <v>1911</v>
      </c>
      <c r="O310" s="13" t="s">
        <v>1624</v>
      </c>
      <c r="P310" s="29" t="s">
        <v>430</v>
      </c>
      <c r="Q310" s="29" t="s">
        <v>2662</v>
      </c>
      <c r="R310" s="29"/>
      <c r="S310" s="29" t="s">
        <v>431</v>
      </c>
      <c r="T310" s="29" t="s">
        <v>4135</v>
      </c>
      <c r="U310" s="29" t="s">
        <v>2838</v>
      </c>
      <c r="V310" s="29"/>
      <c r="W310" s="29" t="s">
        <v>379</v>
      </c>
    </row>
    <row r="311" spans="1:23" x14ac:dyDescent="0.25">
      <c r="A311" s="29">
        <v>298</v>
      </c>
      <c r="B311" s="29" t="s">
        <v>72</v>
      </c>
      <c r="C311" s="29" t="s">
        <v>2223</v>
      </c>
      <c r="D311" s="29" t="s">
        <v>1712</v>
      </c>
      <c r="E311" s="29" t="s">
        <v>1712</v>
      </c>
      <c r="F311" s="29"/>
      <c r="G311" s="29"/>
      <c r="H311" s="29"/>
      <c r="I311" s="29"/>
      <c r="J311" s="13" t="s">
        <v>3163</v>
      </c>
      <c r="K311" s="13" t="s">
        <v>1625</v>
      </c>
      <c r="L311" s="13" t="s">
        <v>2499</v>
      </c>
      <c r="M311" s="15" t="s">
        <v>3854</v>
      </c>
      <c r="N311" s="13" t="s">
        <v>1912</v>
      </c>
      <c r="O311" s="13" t="s">
        <v>1626</v>
      </c>
      <c r="P311" s="29" t="s">
        <v>798</v>
      </c>
      <c r="Q311" s="29" t="s">
        <v>2663</v>
      </c>
      <c r="R311" s="29"/>
      <c r="S311" s="29" t="s">
        <v>800</v>
      </c>
      <c r="T311" s="29" t="s">
        <v>276</v>
      </c>
      <c r="U311" s="29" t="s">
        <v>2839</v>
      </c>
      <c r="V311" s="29"/>
      <c r="W311" s="29" t="s">
        <v>799</v>
      </c>
    </row>
    <row r="312" spans="1:23" x14ac:dyDescent="0.25">
      <c r="A312" s="29">
        <v>299</v>
      </c>
      <c r="B312" s="29" t="s">
        <v>652</v>
      </c>
      <c r="C312" s="29" t="s">
        <v>2224</v>
      </c>
      <c r="D312" s="29" t="s">
        <v>1712</v>
      </c>
      <c r="E312" s="29" t="s">
        <v>1712</v>
      </c>
      <c r="F312" s="29"/>
      <c r="G312" s="29"/>
      <c r="H312" s="29"/>
      <c r="I312" s="29"/>
      <c r="J312" s="13" t="s">
        <v>3164</v>
      </c>
      <c r="K312" s="13" t="s">
        <v>1627</v>
      </c>
      <c r="L312" s="13" t="s">
        <v>2500</v>
      </c>
      <c r="M312" s="15" t="s">
        <v>3855</v>
      </c>
      <c r="N312" s="13" t="s">
        <v>1913</v>
      </c>
      <c r="O312" s="13" t="s">
        <v>1628</v>
      </c>
      <c r="P312" s="29"/>
      <c r="Q312" s="29"/>
      <c r="R312" s="29"/>
      <c r="S312" s="29" t="s">
        <v>492</v>
      </c>
      <c r="T312" s="29" t="s">
        <v>231</v>
      </c>
      <c r="U312" s="29" t="s">
        <v>2717</v>
      </c>
      <c r="V312" s="29"/>
      <c r="W312" s="29" t="s">
        <v>385</v>
      </c>
    </row>
    <row r="313" spans="1:23" x14ac:dyDescent="0.25">
      <c r="A313" s="29">
        <v>300</v>
      </c>
      <c r="B313" s="29" t="s">
        <v>203</v>
      </c>
      <c r="C313" s="29" t="s">
        <v>2225</v>
      </c>
      <c r="D313" s="29" t="s">
        <v>1712</v>
      </c>
      <c r="E313" s="29" t="s">
        <v>1712</v>
      </c>
      <c r="F313" s="29"/>
      <c r="G313" s="29"/>
      <c r="H313" s="29"/>
      <c r="I313" s="29"/>
      <c r="J313" s="13" t="s">
        <v>3165</v>
      </c>
      <c r="K313" s="13" t="s">
        <v>1629</v>
      </c>
      <c r="L313" s="13" t="s">
        <v>3514</v>
      </c>
      <c r="M313" s="15" t="s">
        <v>3856</v>
      </c>
      <c r="N313" s="13" t="s">
        <v>1914</v>
      </c>
      <c r="O313" s="13" t="s">
        <v>1630</v>
      </c>
      <c r="P313" s="29"/>
      <c r="Q313" s="29"/>
      <c r="R313" s="29"/>
      <c r="S313" s="29" t="s">
        <v>1031</v>
      </c>
      <c r="T313" s="29" t="s">
        <v>357</v>
      </c>
      <c r="U313" s="29" t="s">
        <v>2840</v>
      </c>
      <c r="V313" s="29"/>
      <c r="W313" s="29" t="s">
        <v>1030</v>
      </c>
    </row>
    <row r="314" spans="1:23" x14ac:dyDescent="0.25">
      <c r="A314" s="29">
        <v>301</v>
      </c>
      <c r="B314" s="29" t="s">
        <v>82</v>
      </c>
      <c r="C314" s="29" t="s">
        <v>2226</v>
      </c>
      <c r="D314" s="29" t="s">
        <v>1712</v>
      </c>
      <c r="E314" s="29" t="s">
        <v>1712</v>
      </c>
      <c r="F314" s="29"/>
      <c r="G314" s="29"/>
      <c r="H314" s="29"/>
      <c r="I314" s="29"/>
      <c r="J314" s="13" t="s">
        <v>3166</v>
      </c>
      <c r="K314" s="13" t="s">
        <v>1631</v>
      </c>
      <c r="L314" s="13" t="s">
        <v>2501</v>
      </c>
      <c r="M314" s="15" t="s">
        <v>3857</v>
      </c>
      <c r="N314" s="13" t="s">
        <v>1915</v>
      </c>
      <c r="O314" s="13" t="s">
        <v>1632</v>
      </c>
      <c r="P314" s="29" t="s">
        <v>823</v>
      </c>
      <c r="Q314" s="29" t="s">
        <v>2664</v>
      </c>
      <c r="R314" s="29"/>
      <c r="S314" s="29" t="s">
        <v>824</v>
      </c>
      <c r="T314" s="29" t="s">
        <v>2679</v>
      </c>
      <c r="U314" s="29" t="s">
        <v>2841</v>
      </c>
      <c r="V314" s="29"/>
      <c r="W314" s="29" t="s">
        <v>377</v>
      </c>
    </row>
    <row r="315" spans="1:23" x14ac:dyDescent="0.25">
      <c r="J315" s="13"/>
      <c r="K315" s="13"/>
      <c r="L315" s="13"/>
      <c r="N315" s="13"/>
      <c r="O315" s="13"/>
    </row>
    <row r="316" spans="1:23" x14ac:dyDescent="0.25">
      <c r="J316" s="13"/>
      <c r="K316" s="13"/>
      <c r="L316" s="13"/>
      <c r="N316" s="13"/>
      <c r="O316" s="13"/>
    </row>
    <row r="317" spans="1:23" x14ac:dyDescent="0.25">
      <c r="J317" s="13"/>
      <c r="K317" s="13"/>
      <c r="L317" s="13"/>
      <c r="N317" s="13"/>
      <c r="O317" s="13"/>
    </row>
    <row r="318" spans="1:23" x14ac:dyDescent="0.25">
      <c r="J318" s="13"/>
      <c r="K318" s="13"/>
      <c r="L318" s="13"/>
      <c r="N318" s="13"/>
      <c r="O318" s="13"/>
    </row>
    <row r="319" spans="1:23" x14ac:dyDescent="0.25">
      <c r="J319" s="13"/>
      <c r="K319" s="13"/>
      <c r="L319" s="13"/>
      <c r="N319" s="13"/>
      <c r="O319" s="13"/>
    </row>
    <row r="320" spans="1:23" x14ac:dyDescent="0.25">
      <c r="J320" s="13"/>
      <c r="K320" s="13"/>
      <c r="L320" s="13"/>
      <c r="N320" s="13"/>
      <c r="O320" s="13"/>
    </row>
    <row r="321" spans="10:15" x14ac:dyDescent="0.25">
      <c r="J321" s="13"/>
      <c r="K321" s="13"/>
      <c r="L321" s="13"/>
      <c r="N321" s="13"/>
      <c r="O321" s="13"/>
    </row>
    <row r="322" spans="10:15" x14ac:dyDescent="0.25">
      <c r="J322" s="13"/>
      <c r="K322" s="13"/>
      <c r="L322" s="13"/>
      <c r="N322" s="13"/>
      <c r="O322" s="13"/>
    </row>
    <row r="323" spans="10:15" x14ac:dyDescent="0.25">
      <c r="J323" s="13"/>
      <c r="K323" s="13"/>
      <c r="L323" s="13"/>
      <c r="N323" s="13"/>
      <c r="O323" s="13"/>
    </row>
    <row r="324" spans="10:15" x14ac:dyDescent="0.25">
      <c r="J324" s="13"/>
      <c r="K324" s="13"/>
      <c r="L324" s="13"/>
      <c r="N324" s="13"/>
      <c r="O324" s="13"/>
    </row>
    <row r="325" spans="10:15" x14ac:dyDescent="0.25">
      <c r="J325" s="13"/>
      <c r="K325" s="13"/>
      <c r="L325" s="13"/>
      <c r="N325" s="13"/>
      <c r="O325" s="13"/>
    </row>
    <row r="326" spans="10:15" x14ac:dyDescent="0.25">
      <c r="J326" s="13"/>
      <c r="K326" s="13"/>
      <c r="L326" s="13"/>
      <c r="N326" s="13"/>
      <c r="O326" s="13"/>
    </row>
    <row r="327" spans="10:15" x14ac:dyDescent="0.25">
      <c r="J327" s="13"/>
      <c r="K327" s="13"/>
      <c r="L327" s="13"/>
      <c r="N327" s="13"/>
      <c r="O327" s="13"/>
    </row>
    <row r="328" spans="10:15" x14ac:dyDescent="0.25">
      <c r="J328" s="13"/>
      <c r="K328" s="13"/>
      <c r="L328" s="13"/>
      <c r="N328" s="13"/>
      <c r="O328" s="13"/>
    </row>
    <row r="329" spans="10:15" x14ac:dyDescent="0.25">
      <c r="J329" s="13"/>
      <c r="K329" s="13"/>
      <c r="L329" s="13"/>
      <c r="N329" s="13"/>
      <c r="O329" s="13"/>
    </row>
    <row r="330" spans="10:15" x14ac:dyDescent="0.25">
      <c r="J330" s="13"/>
      <c r="K330" s="13"/>
      <c r="L330" s="13"/>
      <c r="N330" s="13"/>
      <c r="O330" s="13"/>
    </row>
    <row r="331" spans="10:15" x14ac:dyDescent="0.25">
      <c r="J331" s="13"/>
      <c r="K331" s="13"/>
      <c r="L331" s="13"/>
      <c r="N331" s="13"/>
      <c r="O331" s="13"/>
    </row>
    <row r="332" spans="10:15" x14ac:dyDescent="0.25">
      <c r="J332" s="13"/>
      <c r="K332" s="13"/>
      <c r="L332" s="13"/>
      <c r="N332" s="13"/>
      <c r="O332" s="13"/>
    </row>
    <row r="333" spans="10:15" x14ac:dyDescent="0.25">
      <c r="J333" s="13"/>
      <c r="K333" s="13"/>
      <c r="L333" s="13"/>
      <c r="N333" s="13"/>
      <c r="O333" s="13"/>
    </row>
    <row r="334" spans="10:15" x14ac:dyDescent="0.25">
      <c r="J334" s="13"/>
      <c r="K334" s="13"/>
      <c r="L334" s="13"/>
      <c r="N334" s="13"/>
      <c r="O334" s="13"/>
    </row>
    <row r="335" spans="10:15" x14ac:dyDescent="0.25">
      <c r="J335" s="13"/>
      <c r="K335" s="13"/>
      <c r="L335" s="13"/>
      <c r="N335" s="13"/>
      <c r="O335" s="13"/>
    </row>
    <row r="336" spans="10:15" x14ac:dyDescent="0.25">
      <c r="J336" s="13"/>
      <c r="K336" s="13"/>
      <c r="L336" s="13"/>
      <c r="N336" s="13"/>
      <c r="O336" s="13"/>
    </row>
    <row r="337" spans="10:21" x14ac:dyDescent="0.25">
      <c r="J337" s="13"/>
      <c r="K337" s="13"/>
      <c r="L337" s="13"/>
      <c r="N337" s="13"/>
      <c r="O337" s="13"/>
    </row>
    <row r="338" spans="10:21" x14ac:dyDescent="0.25">
      <c r="J338" s="13"/>
      <c r="K338" s="13"/>
      <c r="L338" s="13"/>
      <c r="N338" s="13"/>
      <c r="O338" s="13"/>
    </row>
    <row r="339" spans="10:21" x14ac:dyDescent="0.25">
      <c r="J339" s="13"/>
      <c r="K339" s="13"/>
      <c r="L339" s="13"/>
      <c r="N339" s="13"/>
      <c r="O339" s="13"/>
    </row>
    <row r="340" spans="10:21" x14ac:dyDescent="0.25">
      <c r="J340" s="13"/>
      <c r="K340" s="13"/>
      <c r="L340" s="13"/>
      <c r="N340" s="13"/>
      <c r="O340" s="13"/>
    </row>
    <row r="341" spans="10:21" x14ac:dyDescent="0.25">
      <c r="J341" s="13"/>
      <c r="K341" s="13"/>
      <c r="L341" s="13"/>
      <c r="N341" s="13"/>
      <c r="O341" s="13"/>
    </row>
    <row r="342" spans="10:21" x14ac:dyDescent="0.25">
      <c r="J342" s="13"/>
      <c r="K342" s="13"/>
      <c r="L342" s="13"/>
      <c r="N342" s="13"/>
      <c r="O342" s="13"/>
    </row>
    <row r="343" spans="10:21" x14ac:dyDescent="0.25">
      <c r="J343" s="13"/>
      <c r="K343" s="13"/>
      <c r="L343" s="13"/>
      <c r="N343" s="13"/>
      <c r="O343" s="13"/>
      <c r="U343" s="17"/>
    </row>
    <row r="344" spans="10:21" x14ac:dyDescent="0.25">
      <c r="J344" s="13"/>
      <c r="K344" s="13"/>
      <c r="L344" s="13"/>
      <c r="N344" s="13"/>
      <c r="O344" s="13"/>
    </row>
    <row r="345" spans="10:21" x14ac:dyDescent="0.25">
      <c r="J345" s="13"/>
      <c r="K345" s="13"/>
      <c r="L345" s="13"/>
      <c r="N345" s="13"/>
      <c r="O345" s="13"/>
    </row>
    <row r="346" spans="10:21" x14ac:dyDescent="0.25">
      <c r="J346" s="13"/>
      <c r="K346" s="13"/>
      <c r="L346" s="13"/>
      <c r="N346" s="13"/>
      <c r="O346" s="13"/>
    </row>
    <row r="347" spans="10:21" x14ac:dyDescent="0.25">
      <c r="J347" s="13"/>
      <c r="K347" s="13"/>
      <c r="L347" s="13"/>
      <c r="N347" s="13"/>
      <c r="O347" s="13"/>
    </row>
    <row r="348" spans="10:21" x14ac:dyDescent="0.25">
      <c r="J348" s="13"/>
      <c r="K348" s="13"/>
      <c r="L348" s="13"/>
      <c r="N348" s="13"/>
      <c r="O348" s="13"/>
    </row>
    <row r="349" spans="10:21" x14ac:dyDescent="0.25">
      <c r="J349" s="13"/>
      <c r="K349" s="13"/>
      <c r="L349" s="13"/>
      <c r="N349" s="13"/>
      <c r="O349" s="13"/>
    </row>
    <row r="350" spans="10:21" x14ac:dyDescent="0.25">
      <c r="J350" s="13"/>
      <c r="K350" s="13"/>
      <c r="L350" s="13"/>
      <c r="N350" s="13"/>
      <c r="O350" s="13"/>
    </row>
    <row r="351" spans="10:21" x14ac:dyDescent="0.25">
      <c r="J351" s="13"/>
      <c r="K351" s="13"/>
      <c r="L351" s="13"/>
      <c r="N351" s="13"/>
      <c r="O351" s="13"/>
    </row>
    <row r="352" spans="10:21" x14ac:dyDescent="0.25">
      <c r="J352" s="13"/>
      <c r="K352" s="13"/>
      <c r="L352" s="13"/>
      <c r="N352" s="13"/>
      <c r="O352" s="13"/>
    </row>
    <row r="353" spans="10:15" x14ac:dyDescent="0.25">
      <c r="J353" s="13"/>
      <c r="K353" s="13"/>
      <c r="L353" s="13"/>
      <c r="N353" s="13"/>
      <c r="O353" s="13"/>
    </row>
    <row r="354" spans="10:15" x14ac:dyDescent="0.25">
      <c r="J354" s="13"/>
      <c r="K354" s="13"/>
      <c r="L354" s="13"/>
      <c r="N354" s="13"/>
      <c r="O354" s="13"/>
    </row>
    <row r="355" spans="10:15" x14ac:dyDescent="0.25">
      <c r="J355" s="13"/>
      <c r="K355" s="13"/>
      <c r="L355" s="13"/>
      <c r="N355" s="13"/>
      <c r="O355" s="13"/>
    </row>
    <row r="356" spans="10:15" x14ac:dyDescent="0.25">
      <c r="J356" s="13"/>
      <c r="K356" s="13"/>
      <c r="L356" s="13"/>
      <c r="N356" s="13"/>
      <c r="O356" s="13"/>
    </row>
    <row r="357" spans="10:15" x14ac:dyDescent="0.25">
      <c r="J357" s="13"/>
      <c r="K357" s="13"/>
      <c r="L357" s="13"/>
      <c r="N357" s="13"/>
      <c r="O357" s="13"/>
    </row>
    <row r="358" spans="10:15" x14ac:dyDescent="0.25">
      <c r="J358" s="13"/>
      <c r="K358" s="13"/>
      <c r="L358" s="13"/>
      <c r="N358" s="13"/>
      <c r="O358" s="13"/>
    </row>
    <row r="359" spans="10:15" x14ac:dyDescent="0.25">
      <c r="J359" s="13"/>
      <c r="K359" s="13"/>
      <c r="L359" s="13"/>
      <c r="N359" s="13"/>
      <c r="O359" s="13"/>
    </row>
    <row r="360" spans="10:15" x14ac:dyDescent="0.25">
      <c r="J360" s="13"/>
      <c r="K360" s="13"/>
      <c r="L360" s="13"/>
      <c r="N360" s="13"/>
      <c r="O360" s="13"/>
    </row>
    <row r="361" spans="10:15" x14ac:dyDescent="0.25">
      <c r="J361" s="13"/>
      <c r="K361" s="13"/>
      <c r="L361" s="13"/>
      <c r="N361" s="13"/>
      <c r="O361" s="13"/>
    </row>
    <row r="362" spans="10:15" x14ac:dyDescent="0.25">
      <c r="J362" s="13"/>
      <c r="K362" s="13"/>
      <c r="L362" s="13"/>
      <c r="N362" s="13"/>
      <c r="O362" s="13"/>
    </row>
    <row r="363" spans="10:15" x14ac:dyDescent="0.25">
      <c r="J363" s="13"/>
      <c r="K363" s="13"/>
      <c r="L363" s="13"/>
      <c r="N363" s="13"/>
      <c r="O363" s="13"/>
    </row>
    <row r="364" spans="10:15" x14ac:dyDescent="0.25">
      <c r="J364" s="13"/>
      <c r="K364" s="13"/>
      <c r="L364" s="13"/>
      <c r="N364" s="13"/>
      <c r="O364" s="13"/>
    </row>
    <row r="365" spans="10:15" x14ac:dyDescent="0.25">
      <c r="J365" s="13"/>
      <c r="K365" s="13"/>
      <c r="L365" s="13"/>
      <c r="N365" s="13"/>
      <c r="O365" s="13"/>
    </row>
    <row r="366" spans="10:15" x14ac:dyDescent="0.25">
      <c r="J366" s="13"/>
      <c r="K366" s="13"/>
      <c r="L366" s="13"/>
      <c r="N366" s="13"/>
      <c r="O366" s="13"/>
    </row>
    <row r="367" spans="10:15" x14ac:dyDescent="0.25">
      <c r="J367" s="13"/>
      <c r="K367" s="13"/>
      <c r="L367" s="13"/>
      <c r="N367" s="13"/>
      <c r="O367" s="13"/>
    </row>
    <row r="368" spans="10:15" x14ac:dyDescent="0.25">
      <c r="J368" s="13"/>
      <c r="K368" s="13"/>
      <c r="L368" s="13"/>
      <c r="N368" s="13"/>
      <c r="O368" s="13"/>
    </row>
    <row r="369" spans="10:15" x14ac:dyDescent="0.25">
      <c r="J369" s="13"/>
      <c r="K369" s="13"/>
      <c r="L369" s="13"/>
      <c r="N369" s="13"/>
      <c r="O369" s="13"/>
    </row>
    <row r="370" spans="10:15" x14ac:dyDescent="0.25">
      <c r="J370" s="13"/>
      <c r="K370" s="13"/>
      <c r="L370" s="13"/>
      <c r="N370" s="13"/>
      <c r="O370" s="13"/>
    </row>
    <row r="371" spans="10:15" x14ac:dyDescent="0.25">
      <c r="J371" s="13"/>
      <c r="K371" s="13"/>
      <c r="L371" s="13"/>
      <c r="N371" s="13"/>
      <c r="O371" s="13"/>
    </row>
    <row r="372" spans="10:15" x14ac:dyDescent="0.25">
      <c r="J372" s="13"/>
      <c r="K372" s="13"/>
      <c r="L372" s="13"/>
      <c r="N372" s="13"/>
      <c r="O372" s="13"/>
    </row>
    <row r="373" spans="10:15" x14ac:dyDescent="0.25">
      <c r="J373" s="13"/>
      <c r="K373" s="13"/>
      <c r="L373" s="13"/>
      <c r="N373" s="13"/>
      <c r="O373" s="13"/>
    </row>
    <row r="374" spans="10:15" x14ac:dyDescent="0.25">
      <c r="J374" s="13"/>
      <c r="K374" s="13"/>
      <c r="L374" s="13"/>
      <c r="N374" s="13"/>
      <c r="O374" s="13"/>
    </row>
    <row r="375" spans="10:15" x14ac:dyDescent="0.25">
      <c r="J375" s="13"/>
      <c r="K375" s="13"/>
      <c r="L375" s="13"/>
      <c r="N375" s="13"/>
      <c r="O375" s="13"/>
    </row>
    <row r="376" spans="10:15" x14ac:dyDescent="0.25">
      <c r="J376" s="13"/>
      <c r="K376" s="13"/>
      <c r="L376" s="13"/>
      <c r="N376" s="13"/>
      <c r="O376" s="13"/>
    </row>
    <row r="377" spans="10:15" x14ac:dyDescent="0.25">
      <c r="J377" s="13"/>
      <c r="K377" s="13"/>
      <c r="L377" s="13"/>
      <c r="N377" s="13"/>
      <c r="O377" s="13"/>
    </row>
    <row r="378" spans="10:15" x14ac:dyDescent="0.25">
      <c r="J378" s="13"/>
      <c r="K378" s="13"/>
      <c r="L378" s="13"/>
      <c r="N378" s="13"/>
      <c r="O378" s="13"/>
    </row>
    <row r="379" spans="10:15" x14ac:dyDescent="0.25">
      <c r="J379" s="13"/>
      <c r="K379" s="13"/>
      <c r="L379" s="13"/>
      <c r="N379" s="13"/>
      <c r="O379" s="13"/>
    </row>
    <row r="380" spans="10:15" x14ac:dyDescent="0.25">
      <c r="J380" s="13"/>
      <c r="K380" s="13"/>
      <c r="L380" s="13"/>
      <c r="N380" s="13"/>
      <c r="O380" s="13"/>
    </row>
    <row r="381" spans="10:15" x14ac:dyDescent="0.25">
      <c r="J381" s="13"/>
      <c r="K381" s="13"/>
      <c r="L381" s="13"/>
      <c r="N381" s="13"/>
      <c r="O381" s="13"/>
    </row>
    <row r="382" spans="10:15" x14ac:dyDescent="0.25">
      <c r="J382" s="13"/>
      <c r="K382" s="13"/>
      <c r="L382" s="13"/>
      <c r="N382" s="13"/>
      <c r="O382" s="13"/>
    </row>
    <row r="383" spans="10:15" x14ac:dyDescent="0.25">
      <c r="J383" s="13"/>
      <c r="K383" s="13"/>
      <c r="L383" s="13"/>
      <c r="N383" s="13"/>
      <c r="O383" s="13"/>
    </row>
    <row r="384" spans="10:15" x14ac:dyDescent="0.25">
      <c r="J384" s="13"/>
      <c r="K384" s="13"/>
      <c r="L384" s="13"/>
      <c r="N384" s="13"/>
      <c r="O384" s="13"/>
    </row>
    <row r="385" spans="10:21" x14ac:dyDescent="0.25">
      <c r="J385" s="13"/>
      <c r="K385" s="13"/>
      <c r="L385" s="13"/>
      <c r="N385" s="13"/>
      <c r="O385" s="13"/>
    </row>
    <row r="386" spans="10:21" x14ac:dyDescent="0.25">
      <c r="J386" s="13"/>
      <c r="K386" s="13"/>
      <c r="L386" s="13"/>
      <c r="N386" s="13"/>
      <c r="O386" s="13"/>
    </row>
    <row r="387" spans="10:21" x14ac:dyDescent="0.25">
      <c r="J387" s="13"/>
      <c r="K387" s="13"/>
      <c r="L387" s="13"/>
      <c r="N387" s="13"/>
      <c r="O387" s="13"/>
    </row>
    <row r="388" spans="10:21" x14ac:dyDescent="0.25">
      <c r="J388" s="13"/>
      <c r="K388" s="13"/>
      <c r="L388" s="13"/>
      <c r="N388" s="13"/>
      <c r="O388" s="13"/>
    </row>
    <row r="389" spans="10:21" x14ac:dyDescent="0.25">
      <c r="J389" s="13"/>
      <c r="K389" s="13"/>
      <c r="L389" s="13"/>
      <c r="N389" s="13"/>
      <c r="O389" s="13"/>
      <c r="U389" s="17"/>
    </row>
    <row r="390" spans="10:21" x14ac:dyDescent="0.25">
      <c r="J390" s="13"/>
      <c r="K390" s="13"/>
      <c r="L390" s="13"/>
      <c r="N390" s="13"/>
      <c r="O390" s="13"/>
    </row>
    <row r="391" spans="10:21" x14ac:dyDescent="0.25">
      <c r="J391" s="13"/>
      <c r="K391" s="13"/>
      <c r="L391" s="13"/>
      <c r="N391" s="13"/>
      <c r="O391" s="13"/>
    </row>
    <row r="392" spans="10:21" x14ac:dyDescent="0.25">
      <c r="J392" s="13"/>
      <c r="K392" s="13"/>
      <c r="L392" s="13"/>
      <c r="N392" s="13"/>
      <c r="O392" s="13"/>
    </row>
    <row r="393" spans="10:21" x14ac:dyDescent="0.25">
      <c r="J393" s="13"/>
      <c r="K393" s="13"/>
      <c r="L393" s="13"/>
      <c r="N393" s="13"/>
      <c r="O393" s="13"/>
    </row>
    <row r="394" spans="10:21" x14ac:dyDescent="0.25">
      <c r="J394" s="13"/>
      <c r="K394" s="13"/>
      <c r="L394" s="13"/>
      <c r="N394" s="13"/>
      <c r="O394" s="13"/>
    </row>
    <row r="395" spans="10:21" x14ac:dyDescent="0.25">
      <c r="J395" s="13"/>
      <c r="K395" s="13"/>
      <c r="L395" s="13"/>
      <c r="N395" s="13"/>
      <c r="O395" s="13"/>
    </row>
    <row r="396" spans="10:21" x14ac:dyDescent="0.25">
      <c r="J396" s="13"/>
      <c r="K396" s="13"/>
      <c r="L396" s="13"/>
      <c r="N396" s="13"/>
      <c r="O396" s="13"/>
    </row>
    <row r="397" spans="10:21" x14ac:dyDescent="0.25">
      <c r="J397" s="13"/>
      <c r="K397" s="13"/>
      <c r="L397" s="13"/>
      <c r="N397" s="13"/>
      <c r="O397" s="13"/>
    </row>
    <row r="398" spans="10:21" x14ac:dyDescent="0.25">
      <c r="J398" s="13"/>
      <c r="K398" s="13"/>
      <c r="L398" s="13"/>
      <c r="N398" s="13"/>
      <c r="O398" s="13"/>
    </row>
    <row r="399" spans="10:21" x14ac:dyDescent="0.25">
      <c r="J399" s="13"/>
      <c r="K399" s="13"/>
      <c r="L399" s="13"/>
      <c r="N399" s="13"/>
      <c r="O399" s="13"/>
    </row>
    <row r="400" spans="10:21" x14ac:dyDescent="0.25">
      <c r="J400" s="13"/>
      <c r="K400" s="13"/>
      <c r="L400" s="13"/>
      <c r="N400" s="13"/>
      <c r="O400" s="13"/>
    </row>
    <row r="401" spans="10:15" x14ac:dyDescent="0.25">
      <c r="J401" s="13"/>
      <c r="K401" s="13"/>
      <c r="L401" s="13"/>
      <c r="N401" s="13"/>
      <c r="O401" s="13"/>
    </row>
    <row r="402" spans="10:15" x14ac:dyDescent="0.25">
      <c r="J402" s="13"/>
      <c r="K402" s="13"/>
      <c r="L402" s="13"/>
      <c r="N402" s="13"/>
      <c r="O402" s="13"/>
    </row>
    <row r="403" spans="10:15" x14ac:dyDescent="0.25">
      <c r="J403" s="13"/>
      <c r="K403" s="13"/>
      <c r="L403" s="13"/>
      <c r="N403" s="13"/>
      <c r="O403" s="13"/>
    </row>
    <row r="404" spans="10:15" x14ac:dyDescent="0.25">
      <c r="J404" s="13"/>
      <c r="K404" s="13"/>
      <c r="L404" s="13"/>
      <c r="N404" s="13"/>
      <c r="O404" s="13"/>
    </row>
    <row r="405" spans="10:15" x14ac:dyDescent="0.25">
      <c r="J405" s="13"/>
      <c r="K405" s="13"/>
      <c r="L405" s="13"/>
      <c r="N405" s="13"/>
      <c r="O405" s="13"/>
    </row>
    <row r="406" spans="10:15" x14ac:dyDescent="0.25">
      <c r="J406" s="13"/>
      <c r="K406" s="13"/>
      <c r="L406" s="13"/>
      <c r="N406" s="13"/>
      <c r="O406" s="13"/>
    </row>
    <row r="407" spans="10:15" x14ac:dyDescent="0.25">
      <c r="J407" s="13"/>
      <c r="K407" s="13"/>
      <c r="L407" s="13"/>
      <c r="N407" s="13"/>
      <c r="O407" s="13"/>
    </row>
    <row r="408" spans="10:15" x14ac:dyDescent="0.25">
      <c r="J408" s="13"/>
      <c r="K408" s="13"/>
      <c r="L408" s="13"/>
      <c r="N408" s="13"/>
      <c r="O408" s="13"/>
    </row>
    <row r="409" spans="10:15" x14ac:dyDescent="0.25">
      <c r="J409" s="13"/>
      <c r="K409" s="13"/>
      <c r="L409" s="13"/>
      <c r="N409" s="13"/>
      <c r="O409" s="13"/>
    </row>
    <row r="410" spans="10:15" x14ac:dyDescent="0.25">
      <c r="J410" s="13"/>
      <c r="K410" s="13"/>
      <c r="L410" s="13"/>
      <c r="N410" s="13"/>
      <c r="O410" s="13"/>
    </row>
    <row r="411" spans="10:15" x14ac:dyDescent="0.25">
      <c r="J411" s="13"/>
      <c r="K411" s="13"/>
      <c r="L411" s="13"/>
      <c r="N411" s="13"/>
      <c r="O411" s="13"/>
    </row>
    <row r="412" spans="10:15" x14ac:dyDescent="0.25">
      <c r="J412" s="13"/>
      <c r="K412" s="13"/>
      <c r="L412" s="13"/>
      <c r="N412" s="13"/>
      <c r="O412" s="13"/>
    </row>
    <row r="413" spans="10:15" x14ac:dyDescent="0.25">
      <c r="J413" s="13"/>
      <c r="K413" s="13"/>
      <c r="L413" s="13"/>
      <c r="N413" s="13"/>
      <c r="O413" s="13"/>
    </row>
    <row r="414" spans="10:15" x14ac:dyDescent="0.25">
      <c r="J414" s="13"/>
      <c r="K414" s="13"/>
      <c r="L414" s="13"/>
      <c r="N414" s="13"/>
      <c r="O414" s="13"/>
    </row>
    <row r="415" spans="10:15" x14ac:dyDescent="0.25">
      <c r="J415" s="13"/>
      <c r="K415" s="13"/>
      <c r="L415" s="13"/>
      <c r="N415" s="13"/>
      <c r="O415" s="13"/>
    </row>
    <row r="416" spans="10:15" x14ac:dyDescent="0.25">
      <c r="J416" s="13"/>
      <c r="K416" s="13"/>
      <c r="L416" s="13"/>
      <c r="N416" s="13"/>
      <c r="O416" s="13"/>
    </row>
    <row r="417" spans="10:15" x14ac:dyDescent="0.25">
      <c r="J417" s="13"/>
      <c r="K417" s="13"/>
      <c r="L417" s="13"/>
      <c r="N417" s="13"/>
      <c r="O417" s="13"/>
    </row>
    <row r="418" spans="10:15" x14ac:dyDescent="0.25">
      <c r="J418" s="13"/>
      <c r="K418" s="13"/>
      <c r="L418" s="13"/>
      <c r="N418" s="13"/>
      <c r="O418" s="13"/>
    </row>
    <row r="419" spans="10:15" x14ac:dyDescent="0.25">
      <c r="J419" s="13"/>
      <c r="K419" s="13"/>
      <c r="L419" s="13"/>
      <c r="N419" s="13"/>
      <c r="O419" s="13"/>
    </row>
    <row r="420" spans="10:15" x14ac:dyDescent="0.25">
      <c r="J420" s="13"/>
      <c r="K420" s="13"/>
      <c r="L420" s="13"/>
      <c r="N420" s="13"/>
      <c r="O420" s="13"/>
    </row>
    <row r="421" spans="10:15" x14ac:dyDescent="0.25">
      <c r="J421" s="13"/>
      <c r="K421" s="13"/>
      <c r="L421" s="13"/>
      <c r="N421" s="13"/>
      <c r="O421" s="13"/>
    </row>
    <row r="422" spans="10:15" x14ac:dyDescent="0.25">
      <c r="J422" s="13"/>
      <c r="K422" s="13"/>
      <c r="L422" s="13"/>
      <c r="N422" s="13"/>
      <c r="O422" s="13"/>
    </row>
    <row r="423" spans="10:15" x14ac:dyDescent="0.25">
      <c r="J423" s="13"/>
      <c r="K423" s="13"/>
      <c r="L423" s="13"/>
      <c r="N423" s="13"/>
      <c r="O423" s="13"/>
    </row>
    <row r="424" spans="10:15" x14ac:dyDescent="0.25">
      <c r="J424" s="13"/>
      <c r="K424" s="13"/>
      <c r="L424" s="13"/>
      <c r="N424" s="13"/>
      <c r="O424" s="13"/>
    </row>
    <row r="425" spans="10:15" x14ac:dyDescent="0.25">
      <c r="J425" s="13"/>
      <c r="K425" s="13"/>
      <c r="L425" s="13"/>
      <c r="N425" s="13"/>
      <c r="O425" s="13"/>
    </row>
    <row r="426" spans="10:15" x14ac:dyDescent="0.25">
      <c r="J426" s="13"/>
      <c r="K426" s="13"/>
      <c r="L426" s="13"/>
      <c r="N426" s="13"/>
      <c r="O426" s="13"/>
    </row>
    <row r="427" spans="10:15" x14ac:dyDescent="0.25">
      <c r="J427" s="13"/>
      <c r="K427" s="13"/>
      <c r="L427" s="13"/>
      <c r="N427" s="13"/>
      <c r="O427" s="13"/>
    </row>
    <row r="428" spans="10:15" x14ac:dyDescent="0.25">
      <c r="J428" s="13"/>
      <c r="K428" s="13"/>
      <c r="L428" s="13"/>
      <c r="N428" s="13"/>
      <c r="O428" s="13"/>
    </row>
    <row r="429" spans="10:15" x14ac:dyDescent="0.25">
      <c r="J429" s="13"/>
      <c r="K429" s="13"/>
      <c r="L429" s="13"/>
      <c r="N429" s="13"/>
      <c r="O429" s="13"/>
    </row>
    <row r="430" spans="10:15" x14ac:dyDescent="0.25">
      <c r="J430" s="13"/>
      <c r="K430" s="13"/>
      <c r="L430" s="13"/>
      <c r="N430" s="13"/>
      <c r="O430" s="13"/>
    </row>
    <row r="431" spans="10:15" x14ac:dyDescent="0.25">
      <c r="J431" s="13"/>
      <c r="K431" s="13"/>
      <c r="L431" s="13"/>
      <c r="N431" s="13"/>
      <c r="O431" s="13"/>
    </row>
    <row r="432" spans="10:15" x14ac:dyDescent="0.25">
      <c r="J432" s="13"/>
      <c r="K432" s="13"/>
      <c r="L432" s="13"/>
      <c r="N432" s="13"/>
      <c r="O432" s="13"/>
    </row>
    <row r="433" spans="10:15" x14ac:dyDescent="0.25">
      <c r="J433" s="13"/>
      <c r="K433" s="13"/>
      <c r="L433" s="13"/>
      <c r="N433" s="13"/>
      <c r="O433" s="13"/>
    </row>
    <row r="434" spans="10:15" x14ac:dyDescent="0.25">
      <c r="J434" s="13"/>
      <c r="K434" s="13"/>
      <c r="L434" s="13"/>
      <c r="N434" s="13"/>
      <c r="O434" s="13"/>
    </row>
    <row r="435" spans="10:15" x14ac:dyDescent="0.25">
      <c r="J435" s="13"/>
      <c r="K435" s="13"/>
      <c r="L435" s="13"/>
      <c r="N435" s="13"/>
      <c r="O435" s="13"/>
    </row>
    <row r="436" spans="10:15" x14ac:dyDescent="0.25">
      <c r="J436" s="13"/>
      <c r="K436" s="13"/>
      <c r="L436" s="13"/>
      <c r="N436" s="13"/>
      <c r="O436" s="13"/>
    </row>
    <row r="437" spans="10:15" x14ac:dyDescent="0.25">
      <c r="J437" s="13"/>
      <c r="K437" s="13"/>
      <c r="L437" s="13"/>
      <c r="N437" s="13"/>
      <c r="O437" s="13"/>
    </row>
    <row r="438" spans="10:15" x14ac:dyDescent="0.25">
      <c r="J438" s="13"/>
      <c r="K438" s="13"/>
      <c r="L438" s="13"/>
      <c r="N438" s="13"/>
      <c r="O438" s="13"/>
    </row>
    <row r="439" spans="10:15" x14ac:dyDescent="0.25">
      <c r="J439" s="13"/>
      <c r="K439" s="13"/>
      <c r="L439" s="13"/>
      <c r="N439" s="13"/>
      <c r="O439" s="13"/>
    </row>
    <row r="440" spans="10:15" x14ac:dyDescent="0.25">
      <c r="J440" s="13"/>
      <c r="K440" s="13"/>
      <c r="L440" s="13"/>
      <c r="N440" s="13"/>
      <c r="O440" s="13"/>
    </row>
    <row r="441" spans="10:15" x14ac:dyDescent="0.25">
      <c r="J441" s="13"/>
      <c r="K441" s="13"/>
      <c r="L441" s="13"/>
      <c r="N441" s="13"/>
      <c r="O441" s="13"/>
    </row>
    <row r="442" spans="10:15" x14ac:dyDescent="0.25">
      <c r="J442" s="13"/>
      <c r="K442" s="13"/>
      <c r="L442" s="13"/>
      <c r="N442" s="13"/>
      <c r="O442" s="13"/>
    </row>
    <row r="443" spans="10:15" x14ac:dyDescent="0.25">
      <c r="J443" s="13"/>
      <c r="K443" s="13"/>
      <c r="L443" s="13"/>
      <c r="N443" s="13"/>
      <c r="O443" s="13"/>
    </row>
    <row r="444" spans="10:15" x14ac:dyDescent="0.25">
      <c r="J444" s="13"/>
      <c r="K444" s="13"/>
      <c r="L444" s="13"/>
      <c r="N444" s="13"/>
      <c r="O444" s="13"/>
    </row>
    <row r="445" spans="10:15" x14ac:dyDescent="0.25">
      <c r="J445" s="13"/>
      <c r="K445" s="13"/>
      <c r="L445" s="13"/>
      <c r="N445" s="13"/>
      <c r="O445" s="13"/>
    </row>
    <row r="446" spans="10:15" x14ac:dyDescent="0.25">
      <c r="J446" s="13"/>
      <c r="K446" s="13"/>
      <c r="L446" s="13"/>
      <c r="N446" s="13"/>
      <c r="O446" s="13"/>
    </row>
    <row r="447" spans="10:15" x14ac:dyDescent="0.25">
      <c r="J447" s="13"/>
      <c r="K447" s="13"/>
      <c r="L447" s="13"/>
      <c r="N447" s="13"/>
      <c r="O447" s="13"/>
    </row>
    <row r="448" spans="10:15" x14ac:dyDescent="0.25">
      <c r="J448" s="13"/>
      <c r="K448" s="13"/>
      <c r="L448" s="13"/>
      <c r="N448" s="13"/>
      <c r="O448" s="13"/>
    </row>
    <row r="449" spans="10:21" x14ac:dyDescent="0.25">
      <c r="J449" s="13"/>
      <c r="K449" s="13"/>
      <c r="L449" s="13"/>
      <c r="N449" s="13"/>
      <c r="O449" s="13"/>
    </row>
    <row r="450" spans="10:21" x14ac:dyDescent="0.25">
      <c r="J450" s="13"/>
      <c r="K450" s="13"/>
      <c r="L450" s="13"/>
      <c r="N450" s="13"/>
      <c r="O450" s="13"/>
    </row>
    <row r="451" spans="10:21" x14ac:dyDescent="0.25">
      <c r="J451" s="13"/>
      <c r="K451" s="13"/>
      <c r="L451" s="13"/>
      <c r="N451" s="13"/>
      <c r="O451" s="13"/>
      <c r="U451" s="17"/>
    </row>
    <row r="452" spans="10:21" x14ac:dyDescent="0.25">
      <c r="J452" s="13"/>
      <c r="K452" s="13"/>
      <c r="L452" s="13"/>
      <c r="N452" s="13"/>
      <c r="O452" s="13"/>
    </row>
    <row r="453" spans="10:21" x14ac:dyDescent="0.25">
      <c r="J453" s="13"/>
      <c r="K453" s="13"/>
      <c r="L453" s="13"/>
      <c r="N453" s="13"/>
      <c r="O453" s="13"/>
    </row>
    <row r="454" spans="10:21" x14ac:dyDescent="0.25">
      <c r="J454" s="13"/>
      <c r="K454" s="13"/>
      <c r="L454" s="13"/>
      <c r="N454" s="13"/>
      <c r="O454" s="13"/>
    </row>
    <row r="455" spans="10:21" x14ac:dyDescent="0.25">
      <c r="J455" s="13"/>
      <c r="K455" s="13"/>
      <c r="L455" s="13"/>
      <c r="N455" s="13"/>
      <c r="O455" s="13"/>
    </row>
    <row r="456" spans="10:21" x14ac:dyDescent="0.25">
      <c r="J456" s="13"/>
      <c r="K456" s="13"/>
      <c r="L456" s="13"/>
      <c r="N456" s="13"/>
      <c r="O456" s="13"/>
    </row>
    <row r="457" spans="10:21" x14ac:dyDescent="0.25">
      <c r="J457" s="13"/>
      <c r="K457" s="13"/>
      <c r="L457" s="13"/>
      <c r="N457" s="13"/>
      <c r="O457" s="13"/>
    </row>
    <row r="458" spans="10:21" x14ac:dyDescent="0.25">
      <c r="J458" s="13"/>
      <c r="K458" s="13"/>
      <c r="L458" s="13"/>
      <c r="N458" s="13"/>
      <c r="O458" s="13"/>
    </row>
    <row r="459" spans="10:21" x14ac:dyDescent="0.25">
      <c r="J459" s="13"/>
      <c r="K459" s="13"/>
      <c r="L459" s="13"/>
      <c r="N459" s="13"/>
      <c r="O459" s="13"/>
    </row>
    <row r="460" spans="10:21" x14ac:dyDescent="0.25">
      <c r="J460" s="13"/>
      <c r="K460" s="13"/>
      <c r="L460" s="13"/>
      <c r="N460" s="13"/>
      <c r="O460" s="13"/>
    </row>
    <row r="461" spans="10:21" x14ac:dyDescent="0.25">
      <c r="J461" s="13"/>
      <c r="K461" s="13"/>
      <c r="L461" s="13"/>
      <c r="N461" s="13"/>
      <c r="O461" s="13"/>
    </row>
    <row r="462" spans="10:21" x14ac:dyDescent="0.25">
      <c r="J462" s="13"/>
      <c r="K462" s="13"/>
      <c r="L462" s="13"/>
      <c r="N462" s="13"/>
      <c r="O462" s="13"/>
    </row>
    <row r="463" spans="10:21" x14ac:dyDescent="0.25">
      <c r="J463" s="13"/>
      <c r="K463" s="13"/>
      <c r="L463" s="13"/>
      <c r="N463" s="13"/>
      <c r="O463" s="13"/>
    </row>
    <row r="464" spans="10:21" x14ac:dyDescent="0.25">
      <c r="J464" s="13"/>
      <c r="K464" s="13"/>
      <c r="L464" s="13"/>
      <c r="N464" s="13"/>
      <c r="O464" s="13"/>
    </row>
    <row r="465" spans="10:15" x14ac:dyDescent="0.25">
      <c r="J465" s="13"/>
      <c r="K465" s="13"/>
      <c r="L465" s="13"/>
      <c r="N465" s="13"/>
      <c r="O465" s="13"/>
    </row>
    <row r="466" spans="10:15" x14ac:dyDescent="0.25">
      <c r="J466" s="13"/>
      <c r="K466" s="13"/>
      <c r="L466" s="13"/>
      <c r="N466" s="13"/>
      <c r="O466" s="13"/>
    </row>
    <row r="467" spans="10:15" x14ac:dyDescent="0.25">
      <c r="J467" s="13"/>
      <c r="K467" s="13"/>
      <c r="L467" s="13"/>
      <c r="N467" s="13"/>
      <c r="O467" s="13"/>
    </row>
    <row r="468" spans="10:15" x14ac:dyDescent="0.25">
      <c r="J468" s="13"/>
      <c r="K468" s="13"/>
      <c r="L468" s="13"/>
      <c r="N468" s="13"/>
      <c r="O468" s="13"/>
    </row>
    <row r="469" spans="10:15" x14ac:dyDescent="0.25">
      <c r="J469" s="13"/>
      <c r="K469" s="13"/>
      <c r="L469" s="13"/>
      <c r="N469" s="13"/>
      <c r="O469" s="13"/>
    </row>
    <row r="470" spans="10:15" x14ac:dyDescent="0.25">
      <c r="J470" s="13"/>
      <c r="K470" s="13"/>
      <c r="L470" s="13"/>
      <c r="N470" s="13"/>
      <c r="O470" s="13"/>
    </row>
    <row r="471" spans="10:15" x14ac:dyDescent="0.25">
      <c r="J471" s="13"/>
      <c r="K471" s="13"/>
      <c r="L471" s="13"/>
      <c r="N471" s="13"/>
      <c r="O471" s="13"/>
    </row>
    <row r="472" spans="10:15" x14ac:dyDescent="0.25">
      <c r="J472" s="13"/>
      <c r="K472" s="13"/>
      <c r="L472" s="13"/>
      <c r="N472" s="13"/>
      <c r="O472" s="13"/>
    </row>
    <row r="473" spans="10:15" x14ac:dyDescent="0.25">
      <c r="J473" s="13"/>
      <c r="K473" s="13"/>
      <c r="L473" s="13"/>
      <c r="N473" s="13"/>
      <c r="O473" s="13"/>
    </row>
    <row r="474" spans="10:15" x14ac:dyDescent="0.25">
      <c r="J474" s="13"/>
      <c r="K474" s="13"/>
      <c r="L474" s="13"/>
      <c r="N474" s="13"/>
      <c r="O474" s="13"/>
    </row>
    <row r="475" spans="10:15" x14ac:dyDescent="0.25">
      <c r="J475" s="13"/>
      <c r="K475" s="13"/>
      <c r="L475" s="13"/>
      <c r="N475" s="13"/>
      <c r="O475" s="13"/>
    </row>
    <row r="476" spans="10:15" x14ac:dyDescent="0.25">
      <c r="J476" s="13"/>
      <c r="K476" s="13"/>
      <c r="L476" s="13"/>
      <c r="N476" s="13"/>
      <c r="O476" s="13"/>
    </row>
    <row r="477" spans="10:15" x14ac:dyDescent="0.25">
      <c r="J477" s="13"/>
      <c r="K477" s="13"/>
      <c r="L477" s="13"/>
      <c r="N477" s="13"/>
      <c r="O477" s="13"/>
    </row>
    <row r="478" spans="10:15" x14ac:dyDescent="0.25">
      <c r="J478" s="13"/>
      <c r="K478" s="13"/>
      <c r="L478" s="13"/>
      <c r="N478" s="13"/>
      <c r="O478" s="13"/>
    </row>
    <row r="479" spans="10:15" x14ac:dyDescent="0.25">
      <c r="J479" s="13"/>
      <c r="K479" s="13"/>
      <c r="L479" s="13"/>
      <c r="N479" s="13"/>
      <c r="O479" s="13"/>
    </row>
    <row r="480" spans="10:15" x14ac:dyDescent="0.25">
      <c r="J480" s="13"/>
      <c r="K480" s="13"/>
      <c r="L480" s="13"/>
      <c r="N480" s="13"/>
      <c r="O480" s="13"/>
    </row>
    <row r="481" spans="10:15" x14ac:dyDescent="0.25">
      <c r="J481" s="13"/>
      <c r="K481" s="13"/>
      <c r="L481" s="13"/>
      <c r="N481" s="13"/>
      <c r="O481" s="13"/>
    </row>
    <row r="482" spans="10:15" x14ac:dyDescent="0.25">
      <c r="J482" s="13"/>
      <c r="K482" s="13"/>
      <c r="L482" s="13"/>
      <c r="N482" s="13"/>
      <c r="O482" s="13"/>
    </row>
    <row r="483" spans="10:15" x14ac:dyDescent="0.25">
      <c r="J483" s="13"/>
      <c r="K483" s="13"/>
      <c r="L483" s="13"/>
      <c r="N483" s="13"/>
      <c r="O483" s="13"/>
    </row>
    <row r="484" spans="10:15" x14ac:dyDescent="0.25">
      <c r="J484" s="13"/>
      <c r="K484" s="13"/>
      <c r="L484" s="13"/>
      <c r="N484" s="13"/>
      <c r="O484" s="13"/>
    </row>
    <row r="485" spans="10:15" x14ac:dyDescent="0.25">
      <c r="J485" s="13"/>
      <c r="K485" s="13"/>
      <c r="L485" s="13"/>
      <c r="N485" s="13"/>
      <c r="O485" s="13"/>
    </row>
    <row r="486" spans="10:15" x14ac:dyDescent="0.25">
      <c r="J486" s="13"/>
      <c r="K486" s="13"/>
      <c r="L486" s="13"/>
      <c r="N486" s="13"/>
      <c r="O486" s="13"/>
    </row>
    <row r="487" spans="10:15" x14ac:dyDescent="0.25">
      <c r="J487" s="13"/>
      <c r="K487" s="13"/>
      <c r="L487" s="13"/>
      <c r="N487" s="13"/>
      <c r="O487" s="13"/>
    </row>
    <row r="488" spans="10:15" x14ac:dyDescent="0.25">
      <c r="J488" s="13"/>
      <c r="K488" s="13"/>
      <c r="L488" s="13"/>
      <c r="N488" s="13"/>
      <c r="O488" s="13"/>
    </row>
    <row r="489" spans="10:15" x14ac:dyDescent="0.25">
      <c r="J489" s="13"/>
      <c r="K489" s="13"/>
      <c r="L489" s="13"/>
      <c r="N489" s="13"/>
      <c r="O489" s="13"/>
    </row>
    <row r="490" spans="10:15" x14ac:dyDescent="0.25">
      <c r="J490" s="13"/>
      <c r="K490" s="13"/>
      <c r="L490" s="13"/>
      <c r="N490" s="13"/>
      <c r="O490" s="13"/>
    </row>
    <row r="491" spans="10:15" x14ac:dyDescent="0.25">
      <c r="J491" s="13"/>
      <c r="K491" s="13"/>
      <c r="L491" s="13"/>
      <c r="N491" s="13"/>
      <c r="O491" s="13"/>
    </row>
    <row r="492" spans="10:15" x14ac:dyDescent="0.25">
      <c r="J492" s="13"/>
      <c r="K492" s="13"/>
      <c r="L492" s="13"/>
      <c r="N492" s="13"/>
      <c r="O492" s="13"/>
    </row>
    <row r="493" spans="10:15" x14ac:dyDescent="0.25">
      <c r="J493" s="13"/>
      <c r="K493" s="13"/>
      <c r="L493" s="13"/>
      <c r="N493" s="13"/>
      <c r="O493" s="13"/>
    </row>
    <row r="494" spans="10:15" x14ac:dyDescent="0.25">
      <c r="J494" s="13"/>
      <c r="K494" s="13"/>
      <c r="L494" s="13"/>
      <c r="N494" s="13"/>
      <c r="O494" s="13"/>
    </row>
    <row r="495" spans="10:15" x14ac:dyDescent="0.25">
      <c r="J495" s="13"/>
      <c r="K495" s="13"/>
      <c r="L495" s="13"/>
      <c r="N495" s="13"/>
      <c r="O495" s="13"/>
    </row>
    <row r="496" spans="10:15" x14ac:dyDescent="0.25">
      <c r="J496" s="13"/>
      <c r="K496" s="13"/>
      <c r="L496" s="13"/>
      <c r="N496" s="13"/>
      <c r="O496" s="13"/>
    </row>
    <row r="497" spans="10:21" x14ac:dyDescent="0.25">
      <c r="J497" s="13"/>
      <c r="K497" s="13"/>
      <c r="L497" s="13"/>
      <c r="N497" s="13"/>
      <c r="O497" s="13"/>
      <c r="U497" s="17"/>
    </row>
    <row r="498" spans="10:21" x14ac:dyDescent="0.25">
      <c r="J498" s="13"/>
      <c r="K498" s="13"/>
      <c r="L498" s="13"/>
      <c r="N498" s="13"/>
      <c r="O498" s="13"/>
    </row>
    <row r="499" spans="10:21" x14ac:dyDescent="0.25">
      <c r="J499" s="13"/>
      <c r="K499" s="13"/>
      <c r="L499" s="13"/>
      <c r="N499" s="13"/>
      <c r="O499" s="13"/>
    </row>
    <row r="500" spans="10:21" x14ac:dyDescent="0.25">
      <c r="J500" s="13"/>
      <c r="K500" s="13"/>
      <c r="L500" s="13"/>
      <c r="N500" s="13"/>
      <c r="O500" s="13"/>
    </row>
    <row r="501" spans="10:21" x14ac:dyDescent="0.25">
      <c r="J501" s="13"/>
      <c r="K501" s="13"/>
      <c r="L501" s="13"/>
      <c r="N501" s="13"/>
      <c r="O501" s="13"/>
    </row>
    <row r="502" spans="10:21" x14ac:dyDescent="0.25">
      <c r="J502" s="13"/>
      <c r="K502" s="13"/>
      <c r="L502" s="13"/>
      <c r="N502" s="13"/>
      <c r="O502" s="13"/>
    </row>
    <row r="503" spans="10:21" x14ac:dyDescent="0.25">
      <c r="J503" s="13"/>
      <c r="K503" s="13"/>
      <c r="L503" s="13"/>
      <c r="N503" s="13"/>
      <c r="O503" s="13"/>
    </row>
    <row r="504" spans="10:21" x14ac:dyDescent="0.25">
      <c r="J504" s="13"/>
      <c r="K504" s="13"/>
      <c r="L504" s="13"/>
      <c r="N504" s="13"/>
      <c r="O504" s="13"/>
    </row>
    <row r="505" spans="10:21" x14ac:dyDescent="0.25">
      <c r="J505" s="13"/>
      <c r="K505" s="13"/>
      <c r="L505" s="13"/>
      <c r="N505" s="13"/>
      <c r="O505" s="13"/>
    </row>
    <row r="506" spans="10:21" x14ac:dyDescent="0.25">
      <c r="J506" s="13"/>
      <c r="K506" s="13"/>
      <c r="L506" s="13"/>
      <c r="N506" s="13"/>
      <c r="O506" s="13"/>
    </row>
    <row r="507" spans="10:21" x14ac:dyDescent="0.25">
      <c r="J507" s="13"/>
      <c r="K507" s="13"/>
      <c r="L507" s="13"/>
      <c r="N507" s="13"/>
      <c r="O507" s="13"/>
    </row>
    <row r="508" spans="10:21" x14ac:dyDescent="0.25">
      <c r="J508" s="13"/>
      <c r="K508" s="13"/>
      <c r="L508" s="13"/>
      <c r="N508" s="13"/>
      <c r="O508" s="13"/>
    </row>
    <row r="509" spans="10:21" x14ac:dyDescent="0.25">
      <c r="J509" s="13"/>
      <c r="K509" s="13"/>
      <c r="L509" s="13"/>
      <c r="N509" s="13"/>
      <c r="O509" s="13"/>
    </row>
    <row r="510" spans="10:21" x14ac:dyDescent="0.25">
      <c r="J510" s="13"/>
      <c r="K510" s="13"/>
      <c r="L510" s="13"/>
      <c r="N510" s="13"/>
      <c r="O510" s="13"/>
    </row>
    <row r="511" spans="10:21" x14ac:dyDescent="0.25">
      <c r="J511" s="13"/>
      <c r="K511" s="13"/>
      <c r="L511" s="13"/>
      <c r="N511" s="13"/>
      <c r="O511" s="13"/>
    </row>
    <row r="512" spans="10:21" x14ac:dyDescent="0.25">
      <c r="J512" s="13"/>
      <c r="K512" s="13"/>
      <c r="L512" s="13"/>
      <c r="N512" s="13"/>
      <c r="O512" s="13"/>
    </row>
    <row r="513" spans="10:21" x14ac:dyDescent="0.25">
      <c r="J513" s="13"/>
      <c r="K513" s="13"/>
      <c r="L513" s="13"/>
      <c r="N513" s="13"/>
      <c r="O513" s="13"/>
    </row>
    <row r="514" spans="10:21" x14ac:dyDescent="0.25">
      <c r="J514" s="13"/>
      <c r="K514" s="13"/>
      <c r="L514" s="13"/>
      <c r="N514" s="13"/>
      <c r="O514" s="13"/>
    </row>
    <row r="515" spans="10:21" x14ac:dyDescent="0.25">
      <c r="J515" s="13"/>
      <c r="K515" s="13"/>
      <c r="L515" s="13"/>
      <c r="N515" s="13"/>
      <c r="O515" s="13"/>
    </row>
    <row r="516" spans="10:21" x14ac:dyDescent="0.25">
      <c r="J516" s="13"/>
      <c r="K516" s="13"/>
      <c r="L516" s="13"/>
      <c r="N516" s="13"/>
      <c r="O516" s="13"/>
    </row>
    <row r="517" spans="10:21" x14ac:dyDescent="0.25">
      <c r="J517" s="13"/>
      <c r="K517" s="13"/>
      <c r="L517" s="13"/>
      <c r="N517" s="13"/>
      <c r="O517" s="13"/>
    </row>
    <row r="518" spans="10:21" x14ac:dyDescent="0.25">
      <c r="J518" s="13"/>
      <c r="K518" s="13"/>
      <c r="L518" s="13"/>
      <c r="N518" s="13"/>
      <c r="O518" s="13"/>
    </row>
    <row r="519" spans="10:21" x14ac:dyDescent="0.25">
      <c r="J519" s="13"/>
      <c r="K519" s="13"/>
      <c r="L519" s="13"/>
      <c r="N519" s="13"/>
      <c r="O519" s="13"/>
    </row>
    <row r="520" spans="10:21" x14ac:dyDescent="0.25">
      <c r="J520" s="13"/>
      <c r="K520" s="13"/>
      <c r="L520" s="13"/>
      <c r="N520" s="13"/>
      <c r="O520" s="13"/>
    </row>
    <row r="521" spans="10:21" x14ac:dyDescent="0.25">
      <c r="J521" s="13"/>
      <c r="K521" s="13"/>
      <c r="L521" s="13"/>
      <c r="N521" s="13"/>
      <c r="O521" s="13"/>
    </row>
    <row r="522" spans="10:21" x14ac:dyDescent="0.25">
      <c r="J522" s="13"/>
      <c r="K522" s="13"/>
      <c r="L522" s="13"/>
      <c r="N522" s="13"/>
      <c r="O522" s="13"/>
    </row>
    <row r="523" spans="10:21" x14ac:dyDescent="0.25">
      <c r="J523" s="13"/>
      <c r="K523" s="13"/>
      <c r="L523" s="13"/>
      <c r="N523" s="13"/>
      <c r="O523" s="13"/>
      <c r="U523" s="17"/>
    </row>
    <row r="524" spans="10:21" x14ac:dyDescent="0.25">
      <c r="J524" s="13"/>
      <c r="K524" s="13"/>
      <c r="L524" s="13"/>
      <c r="N524" s="13"/>
      <c r="O524" s="13"/>
    </row>
    <row r="525" spans="10:21" x14ac:dyDescent="0.25">
      <c r="J525" s="13"/>
      <c r="K525" s="13"/>
      <c r="L525" s="13"/>
      <c r="N525" s="13"/>
      <c r="O525" s="13"/>
    </row>
    <row r="526" spans="10:21" x14ac:dyDescent="0.25">
      <c r="J526" s="13"/>
      <c r="K526" s="13"/>
      <c r="L526" s="13"/>
      <c r="N526" s="13"/>
      <c r="O526" s="13"/>
    </row>
    <row r="527" spans="10:21" x14ac:dyDescent="0.25">
      <c r="J527" s="13"/>
      <c r="K527" s="13"/>
      <c r="L527" s="13"/>
      <c r="N527" s="13"/>
      <c r="O527" s="13"/>
    </row>
    <row r="528" spans="10:21" x14ac:dyDescent="0.25">
      <c r="J528" s="13"/>
      <c r="K528" s="13"/>
      <c r="L528" s="13"/>
      <c r="N528" s="13"/>
      <c r="O528" s="13"/>
    </row>
    <row r="529" spans="10:21" x14ac:dyDescent="0.25">
      <c r="J529" s="13"/>
      <c r="K529" s="13"/>
      <c r="L529" s="13"/>
      <c r="N529" s="13"/>
      <c r="O529" s="13"/>
    </row>
    <row r="530" spans="10:21" x14ac:dyDescent="0.25">
      <c r="J530" s="13"/>
      <c r="K530" s="13"/>
      <c r="L530" s="13"/>
      <c r="N530" s="13"/>
      <c r="O530" s="13"/>
    </row>
    <row r="531" spans="10:21" x14ac:dyDescent="0.25">
      <c r="J531" s="13"/>
      <c r="K531" s="13"/>
      <c r="L531" s="13"/>
      <c r="N531" s="13"/>
      <c r="O531" s="13"/>
      <c r="U531" s="17"/>
    </row>
    <row r="532" spans="10:21" x14ac:dyDescent="0.25">
      <c r="J532" s="13"/>
      <c r="K532" s="13"/>
      <c r="L532" s="13"/>
      <c r="N532" s="13"/>
      <c r="O532" s="13"/>
    </row>
    <row r="533" spans="10:21" x14ac:dyDescent="0.25">
      <c r="J533" s="13"/>
      <c r="K533" s="13"/>
      <c r="L533" s="13"/>
      <c r="N533" s="13"/>
      <c r="O533" s="13"/>
    </row>
    <row r="534" spans="10:21" x14ac:dyDescent="0.25">
      <c r="J534" s="13"/>
      <c r="K534" s="13"/>
      <c r="L534" s="13"/>
      <c r="N534" s="13"/>
      <c r="O534" s="13"/>
    </row>
    <row r="535" spans="10:21" x14ac:dyDescent="0.25">
      <c r="J535" s="13"/>
      <c r="K535" s="13"/>
      <c r="L535" s="13"/>
      <c r="N535" s="13"/>
      <c r="O535" s="13"/>
    </row>
    <row r="536" spans="10:21" x14ac:dyDescent="0.25">
      <c r="J536" s="13"/>
      <c r="K536" s="13"/>
      <c r="L536" s="13"/>
      <c r="N536" s="13"/>
      <c r="O536" s="13"/>
    </row>
    <row r="537" spans="10:21" x14ac:dyDescent="0.25">
      <c r="J537" s="13"/>
      <c r="K537" s="13"/>
      <c r="L537" s="13"/>
      <c r="N537" s="13"/>
      <c r="O537" s="13"/>
    </row>
    <row r="538" spans="10:21" x14ac:dyDescent="0.25">
      <c r="J538" s="13"/>
      <c r="K538" s="13"/>
      <c r="L538" s="13"/>
      <c r="N538" s="13"/>
      <c r="O538" s="13"/>
    </row>
    <row r="539" spans="10:21" x14ac:dyDescent="0.25">
      <c r="J539" s="13"/>
      <c r="K539" s="13"/>
      <c r="L539" s="13"/>
      <c r="N539" s="13"/>
      <c r="O539" s="13"/>
    </row>
    <row r="540" spans="10:21" x14ac:dyDescent="0.25">
      <c r="J540" s="13"/>
      <c r="K540" s="13"/>
      <c r="L540" s="13"/>
      <c r="N540" s="13"/>
      <c r="O540" s="13"/>
    </row>
    <row r="541" spans="10:21" x14ac:dyDescent="0.25">
      <c r="J541" s="13"/>
      <c r="K541" s="13"/>
      <c r="L541" s="13"/>
      <c r="N541" s="13"/>
      <c r="O541" s="13"/>
    </row>
    <row r="542" spans="10:21" x14ac:dyDescent="0.25">
      <c r="J542" s="13"/>
      <c r="K542" s="13"/>
      <c r="L542" s="13"/>
      <c r="N542" s="13"/>
      <c r="O542" s="13"/>
    </row>
    <row r="543" spans="10:21" x14ac:dyDescent="0.25">
      <c r="J543" s="13"/>
      <c r="K543" s="13"/>
      <c r="L543" s="13"/>
      <c r="N543" s="13"/>
      <c r="O543" s="13"/>
    </row>
    <row r="544" spans="10:21" x14ac:dyDescent="0.25">
      <c r="J544" s="13"/>
      <c r="K544" s="13"/>
      <c r="L544" s="13"/>
      <c r="N544" s="13"/>
      <c r="O544" s="13"/>
    </row>
    <row r="545" spans="10:21" x14ac:dyDescent="0.25">
      <c r="J545" s="13"/>
      <c r="K545" s="13"/>
      <c r="L545" s="13"/>
      <c r="N545" s="13"/>
      <c r="O545" s="13"/>
      <c r="U545" s="17"/>
    </row>
    <row r="546" spans="10:21" x14ac:dyDescent="0.25">
      <c r="J546" s="13"/>
      <c r="K546" s="13"/>
      <c r="L546" s="13"/>
      <c r="N546" s="13"/>
      <c r="O546" s="13"/>
      <c r="U546" s="17"/>
    </row>
    <row r="547" spans="10:21" x14ac:dyDescent="0.25">
      <c r="J547" s="13"/>
      <c r="K547" s="13"/>
      <c r="L547" s="13"/>
      <c r="N547" s="13"/>
      <c r="O547" s="13"/>
    </row>
    <row r="548" spans="10:21" x14ac:dyDescent="0.25">
      <c r="J548" s="13"/>
      <c r="K548" s="13"/>
      <c r="L548" s="13"/>
      <c r="N548" s="13"/>
      <c r="O548" s="13"/>
    </row>
    <row r="549" spans="10:21" x14ac:dyDescent="0.25">
      <c r="J549" s="13"/>
      <c r="K549" s="13"/>
      <c r="L549" s="13"/>
      <c r="N549" s="13"/>
      <c r="O549" s="13"/>
    </row>
    <row r="550" spans="10:21" x14ac:dyDescent="0.25">
      <c r="J550" s="13"/>
      <c r="K550" s="13"/>
      <c r="L550" s="13"/>
      <c r="N550" s="13"/>
      <c r="O550" s="13"/>
    </row>
    <row r="551" spans="10:21" x14ac:dyDescent="0.25">
      <c r="J551" s="13"/>
      <c r="K551" s="13"/>
      <c r="L551" s="13"/>
      <c r="N551" s="13"/>
      <c r="O551" s="13"/>
    </row>
    <row r="552" spans="10:21" x14ac:dyDescent="0.25">
      <c r="J552" s="13"/>
      <c r="K552" s="13"/>
      <c r="L552" s="13"/>
      <c r="N552" s="13"/>
      <c r="O552" s="13"/>
    </row>
    <row r="553" spans="10:21" x14ac:dyDescent="0.25">
      <c r="J553" s="13"/>
      <c r="K553" s="13"/>
      <c r="L553" s="13"/>
      <c r="N553" s="13"/>
      <c r="O553" s="13"/>
    </row>
    <row r="554" spans="10:21" x14ac:dyDescent="0.25">
      <c r="J554" s="13"/>
      <c r="K554" s="13"/>
      <c r="L554" s="13"/>
      <c r="N554" s="13"/>
      <c r="O554" s="13"/>
    </row>
    <row r="555" spans="10:21" x14ac:dyDescent="0.25">
      <c r="J555" s="13"/>
      <c r="K555" s="13"/>
      <c r="L555" s="13"/>
      <c r="N555" s="13"/>
      <c r="O555" s="13"/>
    </row>
    <row r="556" spans="10:21" x14ac:dyDescent="0.25">
      <c r="J556" s="13"/>
      <c r="K556" s="13"/>
      <c r="L556" s="13"/>
      <c r="N556" s="13"/>
      <c r="O556" s="13"/>
    </row>
    <row r="557" spans="10:21" x14ac:dyDescent="0.25">
      <c r="J557" s="13"/>
      <c r="K557" s="13"/>
      <c r="L557" s="13"/>
      <c r="N557" s="13"/>
      <c r="O557" s="13"/>
    </row>
    <row r="558" spans="10:21" x14ac:dyDescent="0.25">
      <c r="J558" s="13"/>
      <c r="K558" s="13"/>
      <c r="L558" s="13"/>
      <c r="N558" s="13"/>
      <c r="O558" s="13"/>
    </row>
    <row r="559" spans="10:21" x14ac:dyDescent="0.25">
      <c r="J559" s="13"/>
      <c r="K559" s="13"/>
      <c r="L559" s="13"/>
      <c r="N559" s="13"/>
      <c r="O559" s="13"/>
    </row>
    <row r="560" spans="10:21" x14ac:dyDescent="0.25">
      <c r="J560" s="13"/>
      <c r="K560" s="13"/>
      <c r="L560" s="13"/>
      <c r="N560" s="13"/>
      <c r="O560" s="13"/>
    </row>
    <row r="561" spans="10:15" x14ac:dyDescent="0.25">
      <c r="J561" s="13"/>
      <c r="K561" s="13"/>
      <c r="L561" s="13"/>
      <c r="N561" s="13"/>
      <c r="O561" s="13"/>
    </row>
    <row r="562" spans="10:15" x14ac:dyDescent="0.25">
      <c r="J562" s="13"/>
      <c r="K562" s="13"/>
      <c r="L562" s="13"/>
      <c r="N562" s="13"/>
      <c r="O562" s="13"/>
    </row>
    <row r="563" spans="10:15" x14ac:dyDescent="0.25">
      <c r="J563" s="13"/>
      <c r="K563" s="13"/>
      <c r="L563" s="13"/>
      <c r="N563" s="13"/>
      <c r="O563" s="13"/>
    </row>
    <row r="564" spans="10:15" x14ac:dyDescent="0.25">
      <c r="J564" s="13"/>
      <c r="K564" s="13"/>
      <c r="L564" s="13"/>
      <c r="N564" s="13"/>
      <c r="O564" s="13"/>
    </row>
    <row r="565" spans="10:15" x14ac:dyDescent="0.25">
      <c r="J565" s="13"/>
      <c r="K565" s="13"/>
      <c r="L565" s="13"/>
      <c r="N565" s="13"/>
      <c r="O565" s="13"/>
    </row>
    <row r="566" spans="10:15" x14ac:dyDescent="0.25">
      <c r="J566" s="13"/>
      <c r="K566" s="13"/>
      <c r="L566" s="13"/>
      <c r="N566" s="13"/>
      <c r="O566" s="13"/>
    </row>
    <row r="567" spans="10:15" x14ac:dyDescent="0.25">
      <c r="J567" s="13"/>
      <c r="K567" s="13"/>
      <c r="L567" s="13"/>
      <c r="N567" s="13"/>
      <c r="O567" s="13"/>
    </row>
    <row r="568" spans="10:15" x14ac:dyDescent="0.25">
      <c r="J568" s="13"/>
      <c r="K568" s="13"/>
      <c r="L568" s="13"/>
      <c r="N568" s="13"/>
      <c r="O568" s="13"/>
    </row>
    <row r="569" spans="10:15" x14ac:dyDescent="0.25">
      <c r="J569" s="13"/>
      <c r="K569" s="13"/>
      <c r="L569" s="13"/>
      <c r="N569" s="13"/>
      <c r="O569" s="13"/>
    </row>
    <row r="570" spans="10:15" x14ac:dyDescent="0.25">
      <c r="J570" s="13"/>
      <c r="K570" s="13"/>
      <c r="L570" s="13"/>
      <c r="N570" s="13"/>
      <c r="O570" s="13"/>
    </row>
    <row r="571" spans="10:15" x14ac:dyDescent="0.25">
      <c r="J571" s="13"/>
      <c r="K571" s="13"/>
      <c r="L571" s="13"/>
      <c r="N571" s="13"/>
      <c r="O571" s="13"/>
    </row>
    <row r="572" spans="10:15" x14ac:dyDescent="0.25">
      <c r="J572" s="13"/>
      <c r="K572" s="13"/>
      <c r="L572" s="13"/>
      <c r="N572" s="13"/>
      <c r="O572" s="13"/>
    </row>
    <row r="573" spans="10:15" x14ac:dyDescent="0.25">
      <c r="J573" s="13"/>
      <c r="K573" s="13"/>
      <c r="L573" s="13"/>
      <c r="N573" s="13"/>
      <c r="O573" s="13"/>
    </row>
    <row r="574" spans="10:15" x14ac:dyDescent="0.25">
      <c r="J574" s="13"/>
      <c r="K574" s="13"/>
      <c r="L574" s="13"/>
      <c r="N574" s="13"/>
      <c r="O574" s="13"/>
    </row>
    <row r="575" spans="10:15" x14ac:dyDescent="0.25">
      <c r="J575" s="13"/>
      <c r="K575" s="13"/>
      <c r="L575" s="13"/>
      <c r="N575" s="13"/>
      <c r="O575" s="13"/>
    </row>
    <row r="576" spans="10:15" x14ac:dyDescent="0.25">
      <c r="J576" s="13"/>
      <c r="K576" s="13"/>
      <c r="L576" s="13"/>
      <c r="N576" s="13"/>
      <c r="O576" s="13"/>
    </row>
    <row r="577" spans="10:15" x14ac:dyDescent="0.25">
      <c r="J577" s="13"/>
      <c r="K577" s="13"/>
      <c r="L577" s="13"/>
      <c r="N577" s="13"/>
      <c r="O577" s="13"/>
    </row>
    <row r="578" spans="10:15" x14ac:dyDescent="0.25">
      <c r="J578" s="13"/>
      <c r="K578" s="13"/>
      <c r="L578" s="13"/>
      <c r="N578" s="13"/>
      <c r="O578" s="13"/>
    </row>
    <row r="579" spans="10:15" x14ac:dyDescent="0.25">
      <c r="J579" s="13"/>
      <c r="K579" s="13"/>
      <c r="L579" s="13"/>
      <c r="N579" s="13"/>
      <c r="O579" s="13"/>
    </row>
    <row r="580" spans="10:15" x14ac:dyDescent="0.25">
      <c r="J580" s="13"/>
      <c r="K580" s="13"/>
      <c r="L580" s="13"/>
      <c r="N580" s="13"/>
      <c r="O580" s="13"/>
    </row>
    <row r="581" spans="10:15" x14ac:dyDescent="0.25">
      <c r="J581" s="13"/>
      <c r="K581" s="13"/>
      <c r="L581" s="13"/>
      <c r="N581" s="13"/>
      <c r="O581" s="13"/>
    </row>
    <row r="582" spans="10:15" x14ac:dyDescent="0.25">
      <c r="J582" s="13"/>
      <c r="K582" s="13"/>
      <c r="L582" s="13"/>
      <c r="N582" s="13"/>
      <c r="O582" s="13"/>
    </row>
    <row r="583" spans="10:15" x14ac:dyDescent="0.25">
      <c r="J583" s="13"/>
      <c r="K583" s="13"/>
      <c r="L583" s="13"/>
      <c r="N583" s="13"/>
      <c r="O583" s="13"/>
    </row>
    <row r="584" spans="10:15" x14ac:dyDescent="0.25">
      <c r="J584" s="13"/>
      <c r="K584" s="13"/>
      <c r="L584" s="13"/>
      <c r="N584" s="13"/>
      <c r="O584" s="13"/>
    </row>
    <row r="585" spans="10:15" x14ac:dyDescent="0.25">
      <c r="J585" s="13"/>
      <c r="K585" s="13"/>
      <c r="L585" s="13"/>
      <c r="N585" s="13"/>
      <c r="O585" s="13"/>
    </row>
    <row r="586" spans="10:15" x14ac:dyDescent="0.25">
      <c r="J586" s="13"/>
      <c r="K586" s="13"/>
      <c r="L586" s="13"/>
      <c r="N586" s="13"/>
      <c r="O586" s="13"/>
    </row>
    <row r="587" spans="10:15" x14ac:dyDescent="0.25">
      <c r="J587" s="13"/>
      <c r="K587" s="13"/>
      <c r="L587" s="13"/>
      <c r="N587" s="13"/>
      <c r="O587" s="13"/>
    </row>
    <row r="588" spans="10:15" x14ac:dyDescent="0.25">
      <c r="J588" s="13"/>
      <c r="K588" s="13"/>
      <c r="L588" s="13"/>
      <c r="N588" s="13"/>
      <c r="O588" s="13"/>
    </row>
    <row r="589" spans="10:15" x14ac:dyDescent="0.25">
      <c r="J589" s="13"/>
      <c r="K589" s="13"/>
      <c r="L589" s="13"/>
      <c r="N589" s="13"/>
      <c r="O589" s="13"/>
    </row>
    <row r="590" spans="10:15" x14ac:dyDescent="0.25">
      <c r="J590" s="13"/>
      <c r="K590" s="13"/>
      <c r="L590" s="13"/>
      <c r="N590" s="13"/>
      <c r="O590" s="13"/>
    </row>
    <row r="591" spans="10:15" x14ac:dyDescent="0.25">
      <c r="J591" s="13"/>
      <c r="K591" s="13"/>
      <c r="L591" s="13"/>
      <c r="N591" s="13"/>
      <c r="O591" s="13"/>
    </row>
    <row r="592" spans="10:15" x14ac:dyDescent="0.25">
      <c r="J592" s="13"/>
      <c r="K592" s="13"/>
      <c r="L592" s="13"/>
      <c r="N592" s="13"/>
      <c r="O592" s="13"/>
    </row>
    <row r="593" spans="10:15" x14ac:dyDescent="0.25">
      <c r="J593" s="13"/>
      <c r="K593" s="13"/>
      <c r="L593" s="13"/>
      <c r="N593" s="13"/>
      <c r="O593" s="13"/>
    </row>
    <row r="594" spans="10:15" x14ac:dyDescent="0.25">
      <c r="J594" s="13"/>
      <c r="K594" s="13"/>
      <c r="L594" s="13"/>
      <c r="N594" s="13"/>
      <c r="O594" s="13"/>
    </row>
    <row r="595" spans="10:15" x14ac:dyDescent="0.25">
      <c r="J595" s="13"/>
      <c r="K595" s="13"/>
      <c r="L595" s="13"/>
      <c r="N595" s="13"/>
      <c r="O595" s="13"/>
    </row>
    <row r="596" spans="10:15" x14ac:dyDescent="0.25">
      <c r="J596" s="13"/>
      <c r="K596" s="13"/>
      <c r="L596" s="13"/>
      <c r="N596" s="13"/>
      <c r="O596" s="13"/>
    </row>
    <row r="597" spans="10:15" x14ac:dyDescent="0.25">
      <c r="J597" s="13"/>
      <c r="K597" s="13"/>
      <c r="L597" s="13"/>
      <c r="N597" s="13"/>
      <c r="O597" s="13"/>
    </row>
    <row r="598" spans="10:15" x14ac:dyDescent="0.25">
      <c r="J598" s="13"/>
      <c r="K598" s="13"/>
      <c r="L598" s="13"/>
      <c r="N598" s="13"/>
      <c r="O598" s="13"/>
    </row>
    <row r="599" spans="10:15" x14ac:dyDescent="0.25">
      <c r="J599" s="13"/>
      <c r="K599" s="13"/>
      <c r="L599" s="13"/>
      <c r="N599" s="13"/>
      <c r="O599" s="13"/>
    </row>
    <row r="600" spans="10:15" x14ac:dyDescent="0.25">
      <c r="J600" s="13"/>
      <c r="K600" s="13"/>
      <c r="L600" s="13"/>
      <c r="N600" s="13"/>
      <c r="O600" s="13"/>
    </row>
    <row r="601" spans="10:15" x14ac:dyDescent="0.25">
      <c r="J601" s="13"/>
      <c r="K601" s="13"/>
      <c r="L601" s="13"/>
      <c r="N601" s="13"/>
      <c r="O601" s="13"/>
    </row>
    <row r="602" spans="10:15" x14ac:dyDescent="0.25">
      <c r="J602" s="13"/>
      <c r="K602" s="13"/>
      <c r="L602" s="13"/>
      <c r="N602" s="13"/>
      <c r="O602" s="13"/>
    </row>
    <row r="603" spans="10:15" x14ac:dyDescent="0.25">
      <c r="J603" s="13"/>
      <c r="K603" s="13"/>
      <c r="L603" s="13"/>
      <c r="N603" s="13"/>
      <c r="O603" s="13"/>
    </row>
    <row r="604" spans="10:15" x14ac:dyDescent="0.25">
      <c r="J604" s="13"/>
      <c r="K604" s="13"/>
      <c r="L604" s="13"/>
      <c r="N604" s="13"/>
      <c r="O604" s="13"/>
    </row>
    <row r="605" spans="10:15" x14ac:dyDescent="0.25">
      <c r="J605" s="13"/>
      <c r="K605" s="13"/>
      <c r="L605" s="13"/>
      <c r="N605" s="13"/>
      <c r="O605" s="13"/>
    </row>
    <row r="606" spans="10:15" x14ac:dyDescent="0.25">
      <c r="J606" s="13"/>
      <c r="K606" s="13"/>
      <c r="L606" s="13"/>
      <c r="N606" s="13"/>
      <c r="O606" s="13"/>
    </row>
    <row r="607" spans="10:15" x14ac:dyDescent="0.25">
      <c r="J607" s="13"/>
      <c r="K607" s="13"/>
      <c r="L607" s="13"/>
      <c r="N607" s="13"/>
      <c r="O607" s="13"/>
    </row>
    <row r="608" spans="10:15" x14ac:dyDescent="0.25">
      <c r="J608" s="13"/>
      <c r="K608" s="13"/>
      <c r="L608" s="13"/>
      <c r="N608" s="13"/>
      <c r="O608" s="13"/>
    </row>
    <row r="609" spans="10:15" x14ac:dyDescent="0.25">
      <c r="J609" s="13"/>
      <c r="K609" s="13"/>
      <c r="L609" s="13"/>
      <c r="N609" s="13"/>
      <c r="O609" s="13"/>
    </row>
    <row r="610" spans="10:15" x14ac:dyDescent="0.25">
      <c r="J610" s="13"/>
      <c r="K610" s="13"/>
      <c r="L610" s="13"/>
      <c r="N610" s="13"/>
      <c r="O610" s="13"/>
    </row>
    <row r="611" spans="10:15" x14ac:dyDescent="0.25">
      <c r="J611" s="13"/>
      <c r="K611" s="13"/>
      <c r="L611" s="13"/>
      <c r="N611" s="13"/>
      <c r="O611" s="13"/>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96"/>
  <sheetViews>
    <sheetView topLeftCell="A13" workbookViewId="0">
      <selection activeCell="A21" sqref="A21"/>
    </sheetView>
  </sheetViews>
  <sheetFormatPr defaultColWidth="34" defaultRowHeight="15" x14ac:dyDescent="0.25"/>
  <cols>
    <col min="1" max="1" width="29.5703125" style="16" customWidth="1"/>
    <col min="2" max="2" width="39.42578125" style="16" customWidth="1"/>
    <col min="3" max="3" width="27.85546875" style="16" customWidth="1"/>
    <col min="4" max="4" width="23.85546875" style="16" customWidth="1"/>
    <col min="5" max="5" width="26.42578125" style="16" customWidth="1"/>
    <col min="6" max="6" width="28.85546875" style="16" customWidth="1"/>
    <col min="7" max="16384" width="34" style="16"/>
  </cols>
  <sheetData>
    <row r="1" spans="1:11" s="18" customFormat="1" ht="30" x14ac:dyDescent="0.25">
      <c r="B1" s="19" t="s">
        <v>3179</v>
      </c>
      <c r="C1" s="22" t="s">
        <v>3184</v>
      </c>
      <c r="D1" s="22" t="s">
        <v>3181</v>
      </c>
      <c r="E1" s="16" t="s">
        <v>3182</v>
      </c>
      <c r="F1" s="16" t="s">
        <v>3183</v>
      </c>
      <c r="G1" s="16">
        <v>25</v>
      </c>
    </row>
    <row r="2" spans="1:11" s="18" customFormat="1" x14ac:dyDescent="0.25">
      <c r="A2" s="43" t="s">
        <v>3194</v>
      </c>
      <c r="B2" s="43" t="s">
        <v>3199</v>
      </c>
      <c r="C2" s="27" t="s">
        <v>1924</v>
      </c>
      <c r="D2" s="27" t="s">
        <v>1921</v>
      </c>
      <c r="E2" s="27" t="s">
        <v>1922</v>
      </c>
      <c r="F2" s="27" t="s">
        <v>1923</v>
      </c>
      <c r="G2" s="18" t="s">
        <v>3180</v>
      </c>
      <c r="H2" s="30" t="s">
        <v>3546</v>
      </c>
      <c r="I2" s="18" t="s">
        <v>3550</v>
      </c>
      <c r="J2" s="27"/>
      <c r="K2" s="27"/>
    </row>
    <row r="3" spans="1:11" s="18" customFormat="1" x14ac:dyDescent="0.25">
      <c r="A3" s="18" t="s">
        <v>3185</v>
      </c>
      <c r="B3" s="18" t="s">
        <v>3201</v>
      </c>
      <c r="C3" s="20">
        <v>11000</v>
      </c>
      <c r="D3" s="20">
        <v>25000</v>
      </c>
      <c r="E3" s="20">
        <v>35000</v>
      </c>
      <c r="F3" s="20">
        <v>45000</v>
      </c>
      <c r="G3" s="20">
        <v>60000</v>
      </c>
      <c r="H3" s="30" t="s">
        <v>3546</v>
      </c>
      <c r="I3" s="18" t="s">
        <v>3550</v>
      </c>
    </row>
    <row r="4" spans="1:11" s="18" customFormat="1" x14ac:dyDescent="0.25">
      <c r="A4" s="18" t="s">
        <v>3186</v>
      </c>
      <c r="B4" s="18" t="s">
        <v>3202</v>
      </c>
      <c r="C4" s="20">
        <v>11000</v>
      </c>
      <c r="D4" s="20">
        <v>25000</v>
      </c>
      <c r="E4" s="20">
        <v>35000</v>
      </c>
      <c r="F4" s="20">
        <v>45000</v>
      </c>
      <c r="G4" s="20">
        <v>60000</v>
      </c>
      <c r="H4" s="30" t="s">
        <v>3546</v>
      </c>
      <c r="I4" s="18" t="s">
        <v>3550</v>
      </c>
    </row>
    <row r="5" spans="1:11" s="18" customFormat="1" x14ac:dyDescent="0.25">
      <c r="A5" s="18" t="s">
        <v>3187</v>
      </c>
      <c r="B5" s="18" t="s">
        <v>3203</v>
      </c>
      <c r="C5" s="20">
        <v>11000</v>
      </c>
      <c r="D5" s="20">
        <v>17000</v>
      </c>
      <c r="E5" s="20">
        <v>25000</v>
      </c>
      <c r="F5" s="20">
        <v>35000</v>
      </c>
      <c r="G5" s="20">
        <v>45000</v>
      </c>
      <c r="H5" s="30" t="s">
        <v>3546</v>
      </c>
      <c r="I5" s="18" t="s">
        <v>3550</v>
      </c>
    </row>
    <row r="6" spans="1:11" s="18" customFormat="1" ht="30" x14ac:dyDescent="0.25">
      <c r="A6" s="18" t="s">
        <v>4137</v>
      </c>
      <c r="B6" s="23" t="s">
        <v>4138</v>
      </c>
      <c r="C6" s="20">
        <v>11000</v>
      </c>
      <c r="D6" s="20">
        <v>25000</v>
      </c>
      <c r="E6" s="20">
        <v>35000</v>
      </c>
      <c r="F6" s="20">
        <v>45000</v>
      </c>
      <c r="G6" s="20">
        <v>60000</v>
      </c>
      <c r="H6" s="30" t="s">
        <v>3546</v>
      </c>
      <c r="I6" s="18" t="s">
        <v>3550</v>
      </c>
    </row>
    <row r="7" spans="1:11" s="18" customFormat="1" ht="30" x14ac:dyDescent="0.25">
      <c r="A7" s="18" t="s">
        <v>4136</v>
      </c>
      <c r="B7" s="23" t="s">
        <v>4139</v>
      </c>
      <c r="C7" s="20">
        <v>13000</v>
      </c>
      <c r="D7" s="20">
        <v>30000</v>
      </c>
      <c r="E7" s="20">
        <v>42000</v>
      </c>
      <c r="F7" s="20">
        <v>54000</v>
      </c>
      <c r="G7" s="20">
        <v>72000</v>
      </c>
      <c r="H7" s="30" t="s">
        <v>3546</v>
      </c>
      <c r="I7" s="18" t="s">
        <v>3550</v>
      </c>
    </row>
    <row r="8" spans="1:11" s="18" customFormat="1" x14ac:dyDescent="0.25">
      <c r="A8" s="18" t="s">
        <v>1916</v>
      </c>
      <c r="B8" s="18" t="s">
        <v>2239</v>
      </c>
      <c r="C8" s="20">
        <v>12000</v>
      </c>
      <c r="D8" s="20">
        <v>25000</v>
      </c>
      <c r="E8" s="20">
        <v>40000</v>
      </c>
      <c r="F8" s="20">
        <v>55000</v>
      </c>
      <c r="G8" s="21" t="s">
        <v>4144</v>
      </c>
      <c r="H8" s="30" t="s">
        <v>3546</v>
      </c>
      <c r="I8" s="18" t="s">
        <v>3550</v>
      </c>
    </row>
    <row r="9" spans="1:11" s="18" customFormat="1" x14ac:dyDescent="0.25">
      <c r="A9" s="18" t="s">
        <v>3188</v>
      </c>
      <c r="B9" s="18" t="s">
        <v>3204</v>
      </c>
      <c r="C9" s="20">
        <v>11000</v>
      </c>
      <c r="D9" s="20">
        <v>25000</v>
      </c>
      <c r="E9" s="20">
        <v>35000</v>
      </c>
      <c r="F9" s="20">
        <v>45000</v>
      </c>
      <c r="G9" s="20">
        <v>60000</v>
      </c>
      <c r="H9" s="30" t="s">
        <v>3546</v>
      </c>
      <c r="I9" s="18" t="s">
        <v>3550</v>
      </c>
    </row>
    <row r="10" spans="1:11" s="18" customFormat="1" x14ac:dyDescent="0.25">
      <c r="A10" s="18" t="s">
        <v>3189</v>
      </c>
      <c r="B10" s="18" t="s">
        <v>3205</v>
      </c>
      <c r="C10" s="20">
        <v>13000</v>
      </c>
      <c r="D10" s="20">
        <v>30000</v>
      </c>
      <c r="E10" s="20">
        <v>42000</v>
      </c>
      <c r="F10" s="20">
        <v>54000</v>
      </c>
      <c r="G10" s="20">
        <v>72000</v>
      </c>
      <c r="H10" s="30" t="s">
        <v>3546</v>
      </c>
      <c r="I10" s="18" t="s">
        <v>3550</v>
      </c>
    </row>
    <row r="11" spans="1:11" s="18" customFormat="1" x14ac:dyDescent="0.25">
      <c r="A11" s="18" t="s">
        <v>1917</v>
      </c>
      <c r="B11" s="18" t="s">
        <v>3206</v>
      </c>
      <c r="C11" s="21" t="s">
        <v>4144</v>
      </c>
      <c r="D11" s="20">
        <v>35000</v>
      </c>
      <c r="E11" s="20">
        <v>45000</v>
      </c>
      <c r="F11" s="20">
        <v>55000</v>
      </c>
      <c r="G11" s="20">
        <v>65000</v>
      </c>
      <c r="H11" s="30" t="s">
        <v>3546</v>
      </c>
      <c r="I11" s="18" t="s">
        <v>3550</v>
      </c>
    </row>
    <row r="12" spans="1:11" s="18" customFormat="1" x14ac:dyDescent="0.25">
      <c r="A12" s="18" t="s">
        <v>3190</v>
      </c>
      <c r="B12" s="18" t="s">
        <v>3207</v>
      </c>
      <c r="C12" s="21" t="s">
        <v>4144</v>
      </c>
      <c r="D12" s="20">
        <v>10000</v>
      </c>
      <c r="E12" s="20">
        <v>15000</v>
      </c>
      <c r="F12" s="20">
        <v>20000</v>
      </c>
      <c r="G12" s="21" t="s">
        <v>4144</v>
      </c>
      <c r="H12" s="30" t="s">
        <v>3546</v>
      </c>
      <c r="I12" s="18" t="s">
        <v>3550</v>
      </c>
    </row>
    <row r="13" spans="1:11" s="18" customFormat="1" x14ac:dyDescent="0.25">
      <c r="A13" s="18" t="s">
        <v>1919</v>
      </c>
      <c r="B13" s="18" t="s">
        <v>3208</v>
      </c>
      <c r="C13" s="20">
        <v>10000</v>
      </c>
      <c r="D13" s="20">
        <v>20000</v>
      </c>
      <c r="E13" s="20">
        <v>30000</v>
      </c>
      <c r="F13" s="20">
        <v>40000</v>
      </c>
      <c r="G13" s="21" t="s">
        <v>4144</v>
      </c>
      <c r="H13" s="30" t="s">
        <v>3547</v>
      </c>
      <c r="I13" s="18" t="s">
        <v>3553</v>
      </c>
    </row>
    <row r="14" spans="1:11" s="18" customFormat="1" x14ac:dyDescent="0.25">
      <c r="A14" s="24" t="s">
        <v>1920</v>
      </c>
      <c r="B14" s="18" t="s">
        <v>3209</v>
      </c>
      <c r="C14" s="21" t="s">
        <v>4144</v>
      </c>
      <c r="D14" s="20">
        <v>35000</v>
      </c>
      <c r="E14" s="20">
        <v>45000</v>
      </c>
      <c r="F14" s="20">
        <v>55000</v>
      </c>
      <c r="G14" s="20">
        <v>70000</v>
      </c>
      <c r="H14" s="30" t="s">
        <v>3548</v>
      </c>
      <c r="I14" s="18" t="s">
        <v>3551</v>
      </c>
    </row>
    <row r="15" spans="1:11" s="18" customFormat="1" x14ac:dyDescent="0.25">
      <c r="A15" s="25" t="s">
        <v>2852</v>
      </c>
      <c r="B15" s="18" t="s">
        <v>3210</v>
      </c>
      <c r="C15" s="21" t="s">
        <v>4144</v>
      </c>
      <c r="D15" s="20">
        <v>35000</v>
      </c>
      <c r="E15" s="20">
        <v>45000</v>
      </c>
      <c r="F15" s="20">
        <v>55000</v>
      </c>
      <c r="G15" s="20">
        <v>70000</v>
      </c>
      <c r="H15" s="30" t="s">
        <v>3549</v>
      </c>
      <c r="I15" s="18" t="s">
        <v>3552</v>
      </c>
    </row>
    <row r="16" spans="1:11" s="18" customFormat="1" x14ac:dyDescent="0.25">
      <c r="A16" s="25" t="s">
        <v>3191</v>
      </c>
      <c r="B16" s="18" t="s">
        <v>3211</v>
      </c>
      <c r="C16" s="20">
        <v>15000</v>
      </c>
      <c r="D16" s="20">
        <v>15000</v>
      </c>
      <c r="E16" s="20">
        <v>15000</v>
      </c>
      <c r="F16" s="20">
        <v>15000</v>
      </c>
      <c r="G16" s="20">
        <v>15000</v>
      </c>
      <c r="H16" s="18" t="s">
        <v>3875</v>
      </c>
      <c r="I16" s="18" t="s">
        <v>3874</v>
      </c>
    </row>
    <row r="17" spans="1:9" s="18" customFormat="1" x14ac:dyDescent="0.25">
      <c r="A17" s="26" t="s">
        <v>3192</v>
      </c>
      <c r="B17" s="18" t="s">
        <v>3212</v>
      </c>
      <c r="C17" s="20" t="s">
        <v>4145</v>
      </c>
      <c r="D17" s="20">
        <v>204</v>
      </c>
      <c r="E17" s="20">
        <v>204</v>
      </c>
      <c r="F17" s="20">
        <v>204</v>
      </c>
      <c r="G17" s="20">
        <v>204</v>
      </c>
      <c r="H17" s="30" t="s">
        <v>3873</v>
      </c>
      <c r="I17" s="18" t="s">
        <v>3872</v>
      </c>
    </row>
    <row r="18" spans="1:9" s="18" customFormat="1" x14ac:dyDescent="0.25">
      <c r="A18" s="28"/>
      <c r="H18" s="18" t="s">
        <v>3910</v>
      </c>
      <c r="I18" s="18" t="s">
        <v>3911</v>
      </c>
    </row>
    <row r="19" spans="1:9" s="18" customFormat="1" x14ac:dyDescent="0.25">
      <c r="A19" s="28"/>
    </row>
    <row r="20" spans="1:9" s="18" customFormat="1" x14ac:dyDescent="0.25">
      <c r="A20" s="27" t="s">
        <v>3193</v>
      </c>
      <c r="B20" s="27" t="s">
        <v>3200</v>
      </c>
    </row>
    <row r="21" spans="1:9" s="18" customFormat="1" x14ac:dyDescent="0.25">
      <c r="A21" s="18" t="s">
        <v>3195</v>
      </c>
      <c r="B21" s="18" t="s">
        <v>3213</v>
      </c>
    </row>
    <row r="22" spans="1:9" s="18" customFormat="1" x14ac:dyDescent="0.25">
      <c r="A22" s="18" t="s">
        <v>3196</v>
      </c>
      <c r="B22" s="18" t="s">
        <v>3214</v>
      </c>
    </row>
    <row r="23" spans="1:9" s="18" customFormat="1" x14ac:dyDescent="0.25">
      <c r="A23" s="18" t="s">
        <v>3197</v>
      </c>
      <c r="B23" s="18" t="s">
        <v>3215</v>
      </c>
    </row>
    <row r="24" spans="1:9" s="18" customFormat="1" x14ac:dyDescent="0.25">
      <c r="A24" s="18" t="s">
        <v>3198</v>
      </c>
      <c r="B24" s="18" t="s">
        <v>3216</v>
      </c>
    </row>
    <row r="25" spans="1:9" s="18" customFormat="1" x14ac:dyDescent="0.25">
      <c r="A25" s="18" t="s">
        <v>4158</v>
      </c>
      <c r="B25" s="18" t="s">
        <v>4159</v>
      </c>
    </row>
    <row r="26" spans="1:9" s="18" customFormat="1" x14ac:dyDescent="0.25">
      <c r="A26" s="18" t="s">
        <v>3218</v>
      </c>
      <c r="B26" s="18" t="s">
        <v>3219</v>
      </c>
    </row>
    <row r="27" spans="1:9" s="18" customFormat="1" x14ac:dyDescent="0.25">
      <c r="A27" s="18" t="s">
        <v>4140</v>
      </c>
      <c r="B27" s="18" t="s">
        <v>3217</v>
      </c>
    </row>
    <row r="28" spans="1:9" s="18" customFormat="1" x14ac:dyDescent="0.25">
      <c r="A28" s="28"/>
    </row>
    <row r="29" spans="1:9" s="18" customFormat="1" x14ac:dyDescent="0.25">
      <c r="A29" s="28"/>
    </row>
    <row r="30" spans="1:9" s="18" customFormat="1" x14ac:dyDescent="0.25">
      <c r="A30" s="38" t="s">
        <v>3876</v>
      </c>
      <c r="B30" s="38" t="s">
        <v>3877</v>
      </c>
      <c r="C30" s="38" t="s">
        <v>3878</v>
      </c>
      <c r="D30" s="38" t="s">
        <v>3879</v>
      </c>
    </row>
    <row r="31" spans="1:9" s="18" customFormat="1" x14ac:dyDescent="0.25">
      <c r="A31" t="s">
        <v>3880</v>
      </c>
      <c r="B31" t="s">
        <v>3881</v>
      </c>
      <c r="C31" t="s">
        <v>3882</v>
      </c>
      <c r="D31" t="s">
        <v>3883</v>
      </c>
    </row>
    <row r="32" spans="1:9" s="18" customFormat="1" x14ac:dyDescent="0.25">
      <c r="A32" t="s">
        <v>3884</v>
      </c>
      <c r="B32" t="s">
        <v>3885</v>
      </c>
      <c r="C32" t="s">
        <v>3886</v>
      </c>
      <c r="D32" t="s">
        <v>3883</v>
      </c>
    </row>
    <row r="33" spans="1:4" s="18" customFormat="1" x14ac:dyDescent="0.25">
      <c r="A33" t="s">
        <v>3887</v>
      </c>
      <c r="B33" t="s">
        <v>3888</v>
      </c>
      <c r="C33" t="s">
        <v>3889</v>
      </c>
      <c r="D33" t="s">
        <v>3883</v>
      </c>
    </row>
    <row r="34" spans="1:4" s="18" customFormat="1" x14ac:dyDescent="0.25">
      <c r="A34" t="s">
        <v>3890</v>
      </c>
      <c r="B34" t="s">
        <v>3885</v>
      </c>
      <c r="C34" t="s">
        <v>3891</v>
      </c>
      <c r="D34" t="s">
        <v>3883</v>
      </c>
    </row>
    <row r="35" spans="1:4" s="18" customFormat="1" x14ac:dyDescent="0.25">
      <c r="A35" t="s">
        <v>3892</v>
      </c>
      <c r="B35" t="s">
        <v>3893</v>
      </c>
      <c r="C35" t="s">
        <v>3894</v>
      </c>
      <c r="D35" t="s">
        <v>3883</v>
      </c>
    </row>
    <row r="36" spans="1:4" s="18" customFormat="1" x14ac:dyDescent="0.25">
      <c r="A36" t="s">
        <v>3895</v>
      </c>
      <c r="B36" t="s">
        <v>3896</v>
      </c>
      <c r="C36" t="s">
        <v>3897</v>
      </c>
      <c r="D36" t="s">
        <v>3883</v>
      </c>
    </row>
    <row r="37" spans="1:4" s="18" customFormat="1" x14ac:dyDescent="0.25">
      <c r="A37" t="s">
        <v>3898</v>
      </c>
      <c r="B37" t="s">
        <v>3899</v>
      </c>
      <c r="C37" t="s">
        <v>3900</v>
      </c>
      <c r="D37" t="s">
        <v>3883</v>
      </c>
    </row>
    <row r="38" spans="1:4" s="18" customFormat="1" x14ac:dyDescent="0.25">
      <c r="A38" t="s">
        <v>3901</v>
      </c>
      <c r="B38" t="s">
        <v>3902</v>
      </c>
      <c r="C38" t="s">
        <v>3903</v>
      </c>
      <c r="D38" t="s">
        <v>3883</v>
      </c>
    </row>
    <row r="39" spans="1:4" s="18" customFormat="1" x14ac:dyDescent="0.25">
      <c r="A39" t="s">
        <v>3904</v>
      </c>
      <c r="B39" t="s">
        <v>3905</v>
      </c>
      <c r="C39" t="s">
        <v>3906</v>
      </c>
      <c r="D39" t="s">
        <v>3883</v>
      </c>
    </row>
    <row r="40" spans="1:4" s="18" customFormat="1" x14ac:dyDescent="0.25">
      <c r="A40" t="s">
        <v>3907</v>
      </c>
      <c r="B40" t="s">
        <v>3908</v>
      </c>
      <c r="C40" t="s">
        <v>3909</v>
      </c>
      <c r="D40" t="s">
        <v>3883</v>
      </c>
    </row>
    <row r="41" spans="1:4" s="18" customFormat="1" x14ac:dyDescent="0.25">
      <c r="A41" s="28"/>
    </row>
    <row r="42" spans="1:4" s="18" customFormat="1" x14ac:dyDescent="0.25">
      <c r="A42" s="28"/>
    </row>
    <row r="43" spans="1:4" s="18" customFormat="1" x14ac:dyDescent="0.25">
      <c r="A43" s="28"/>
    </row>
    <row r="44" spans="1:4" s="18" customFormat="1" x14ac:dyDescent="0.25">
      <c r="A44" s="28"/>
    </row>
    <row r="45" spans="1:4" s="18" customFormat="1" x14ac:dyDescent="0.25">
      <c r="A45" s="28"/>
    </row>
    <row r="46" spans="1:4" s="18" customFormat="1" x14ac:dyDescent="0.25">
      <c r="A46" s="28"/>
    </row>
    <row r="47" spans="1:4" s="18" customFormat="1" x14ac:dyDescent="0.25">
      <c r="A47" s="28"/>
    </row>
    <row r="48" spans="1:4" s="18" customFormat="1" x14ac:dyDescent="0.25">
      <c r="A48" s="28"/>
    </row>
    <row r="49" spans="1:3" s="18" customFormat="1" x14ac:dyDescent="0.25">
      <c r="A49" s="18" t="s">
        <v>2842</v>
      </c>
      <c r="B49" s="18" t="s">
        <v>2843</v>
      </c>
      <c r="C49" s="18" t="s">
        <v>2238</v>
      </c>
    </row>
    <row r="50" spans="1:3" s="18" customFormat="1" x14ac:dyDescent="0.25">
      <c r="A50" s="18" t="s">
        <v>2842</v>
      </c>
      <c r="B50" s="18" t="s">
        <v>2843</v>
      </c>
      <c r="C50" s="18" t="s">
        <v>2844</v>
      </c>
    </row>
    <row r="51" spans="1:3" s="18" customFormat="1" x14ac:dyDescent="0.25">
      <c r="A51" s="18" t="s">
        <v>2842</v>
      </c>
      <c r="B51" s="18" t="s">
        <v>2843</v>
      </c>
      <c r="C51" s="18" t="s">
        <v>2845</v>
      </c>
    </row>
    <row r="52" spans="1:3" s="18" customFormat="1" x14ac:dyDescent="0.25">
      <c r="A52" s="18" t="s">
        <v>2842</v>
      </c>
      <c r="B52" s="18" t="s">
        <v>2843</v>
      </c>
      <c r="C52" s="18" t="s">
        <v>2846</v>
      </c>
    </row>
    <row r="53" spans="1:3" s="18" customFormat="1" x14ac:dyDescent="0.25">
      <c r="A53" s="18" t="s">
        <v>2842</v>
      </c>
      <c r="B53" s="18" t="s">
        <v>2843</v>
      </c>
      <c r="C53" s="18" t="s">
        <v>2847</v>
      </c>
    </row>
    <row r="54" spans="1:3" s="18" customFormat="1" x14ac:dyDescent="0.25">
      <c r="A54" s="18" t="s">
        <v>2842</v>
      </c>
      <c r="B54" s="18" t="s">
        <v>2843</v>
      </c>
      <c r="C54" s="18" t="s">
        <v>1919</v>
      </c>
    </row>
    <row r="55" spans="1:3" s="18" customFormat="1" x14ac:dyDescent="0.25">
      <c r="A55" s="18" t="s">
        <v>2842</v>
      </c>
      <c r="B55" s="18" t="s">
        <v>2843</v>
      </c>
      <c r="C55" s="18" t="s">
        <v>2848</v>
      </c>
    </row>
    <row r="56" spans="1:3" s="18" customFormat="1" x14ac:dyDescent="0.25">
      <c r="A56" s="18" t="s">
        <v>2842</v>
      </c>
      <c r="B56" s="18" t="s">
        <v>2843</v>
      </c>
      <c r="C56" s="18" t="s">
        <v>2849</v>
      </c>
    </row>
    <row r="57" spans="1:3" s="18" customFormat="1" x14ac:dyDescent="0.25">
      <c r="A57" s="18" t="s">
        <v>2842</v>
      </c>
      <c r="B57" s="18" t="s">
        <v>2843</v>
      </c>
      <c r="C57" s="18" t="s">
        <v>2850</v>
      </c>
    </row>
    <row r="58" spans="1:3" s="18" customFormat="1" x14ac:dyDescent="0.25">
      <c r="A58" s="18" t="s">
        <v>2842</v>
      </c>
      <c r="B58" s="18" t="s">
        <v>2843</v>
      </c>
      <c r="C58" s="18" t="s">
        <v>1918</v>
      </c>
    </row>
    <row r="59" spans="1:3" s="18" customFormat="1" x14ac:dyDescent="0.25">
      <c r="A59" s="18" t="s">
        <v>2842</v>
      </c>
      <c r="B59" s="18" t="s">
        <v>2236</v>
      </c>
      <c r="C59" s="18" t="s">
        <v>1917</v>
      </c>
    </row>
    <row r="60" spans="1:3" s="18" customFormat="1" x14ac:dyDescent="0.25">
      <c r="A60" s="18" t="s">
        <v>2842</v>
      </c>
      <c r="B60" s="18" t="s">
        <v>2851</v>
      </c>
      <c r="C60" s="18" t="s">
        <v>1920</v>
      </c>
    </row>
    <row r="61" spans="1:3" s="18" customFormat="1" x14ac:dyDescent="0.25">
      <c r="A61" s="18" t="s">
        <v>2842</v>
      </c>
      <c r="B61" s="18" t="s">
        <v>2851</v>
      </c>
      <c r="C61" s="18" t="s">
        <v>2852</v>
      </c>
    </row>
    <row r="62" spans="1:3" s="18" customFormat="1" x14ac:dyDescent="0.25">
      <c r="A62" s="18" t="s">
        <v>2842</v>
      </c>
      <c r="B62" s="18" t="s">
        <v>2853</v>
      </c>
      <c r="C62" s="18" t="s">
        <v>2854</v>
      </c>
    </row>
    <row r="63" spans="1:3" s="18" customFormat="1" x14ac:dyDescent="0.25">
      <c r="A63" s="18" t="s">
        <v>2855</v>
      </c>
      <c r="B63" s="18" t="s">
        <v>2856</v>
      </c>
      <c r="C63" s="18" t="s">
        <v>2857</v>
      </c>
    </row>
    <row r="64" spans="1:3" s="18" customFormat="1" x14ac:dyDescent="0.25">
      <c r="A64" s="18" t="s">
        <v>2855</v>
      </c>
      <c r="B64" s="18" t="s">
        <v>2856</v>
      </c>
      <c r="C64" s="18" t="s">
        <v>2858</v>
      </c>
    </row>
    <row r="65" spans="1:3" s="18" customFormat="1" x14ac:dyDescent="0.25">
      <c r="A65" s="18" t="s">
        <v>2855</v>
      </c>
      <c r="B65" s="18" t="s">
        <v>2856</v>
      </c>
      <c r="C65" s="18" t="s">
        <v>2859</v>
      </c>
    </row>
    <row r="66" spans="1:3" s="18" customFormat="1" x14ac:dyDescent="0.25">
      <c r="A66" s="18" t="s">
        <v>2855</v>
      </c>
      <c r="B66" s="18" t="s">
        <v>2856</v>
      </c>
      <c r="C66" s="18" t="s">
        <v>2860</v>
      </c>
    </row>
    <row r="67" spans="1:3" s="18" customFormat="1" x14ac:dyDescent="0.25">
      <c r="A67" s="18" t="s">
        <v>2855</v>
      </c>
      <c r="B67" s="18" t="s">
        <v>2856</v>
      </c>
      <c r="C67" s="18" t="s">
        <v>2861</v>
      </c>
    </row>
    <row r="68" spans="1:3" s="18" customFormat="1" x14ac:dyDescent="0.25">
      <c r="A68" s="18" t="s">
        <v>2855</v>
      </c>
      <c r="B68" s="18" t="s">
        <v>2856</v>
      </c>
      <c r="C68" s="18" t="s">
        <v>2862</v>
      </c>
    </row>
    <row r="69" spans="1:3" s="18" customFormat="1" x14ac:dyDescent="0.25">
      <c r="A69" s="18" t="s">
        <v>2855</v>
      </c>
      <c r="B69" s="18" t="s">
        <v>2856</v>
      </c>
      <c r="C69" s="18" t="s">
        <v>2863</v>
      </c>
    </row>
    <row r="70" spans="1:3" s="18" customFormat="1" x14ac:dyDescent="0.25">
      <c r="A70" s="18" t="s">
        <v>2855</v>
      </c>
      <c r="B70" s="18" t="s">
        <v>2856</v>
      </c>
      <c r="C70" s="18" t="s">
        <v>2864</v>
      </c>
    </row>
    <row r="71" spans="1:3" s="18" customFormat="1" x14ac:dyDescent="0.25">
      <c r="A71" s="18" t="s">
        <v>2865</v>
      </c>
      <c r="B71" s="18" t="s">
        <v>2866</v>
      </c>
      <c r="C71" s="18" t="s">
        <v>2867</v>
      </c>
    </row>
    <row r="72" spans="1:3" s="18" customFormat="1" x14ac:dyDescent="0.25">
      <c r="A72" s="18" t="s">
        <v>2865</v>
      </c>
      <c r="B72" s="18" t="s">
        <v>2868</v>
      </c>
      <c r="C72" s="18" t="s">
        <v>2869</v>
      </c>
    </row>
    <row r="73" spans="1:3" s="18" customFormat="1" x14ac:dyDescent="0.25">
      <c r="A73" s="18" t="s">
        <v>2865</v>
      </c>
      <c r="B73" s="18" t="s">
        <v>2870</v>
      </c>
      <c r="C73" s="18" t="s">
        <v>2871</v>
      </c>
    </row>
    <row r="74" spans="1:3" s="18" customFormat="1" x14ac:dyDescent="0.25">
      <c r="A74" s="18" t="s">
        <v>2872</v>
      </c>
      <c r="B74" s="18" t="s">
        <v>2873</v>
      </c>
      <c r="C74" s="18" t="s">
        <v>2874</v>
      </c>
    </row>
    <row r="75" spans="1:3" s="18" customFormat="1" x14ac:dyDescent="0.25">
      <c r="A75" s="18" t="s">
        <v>2872</v>
      </c>
      <c r="B75" s="18" t="s">
        <v>2873</v>
      </c>
      <c r="C75" s="18" t="s">
        <v>2875</v>
      </c>
    </row>
    <row r="76" spans="1:3" s="18" customFormat="1" x14ac:dyDescent="0.25">
      <c r="A76" s="18" t="s">
        <v>2872</v>
      </c>
      <c r="B76" s="18" t="s">
        <v>2873</v>
      </c>
      <c r="C76" s="18" t="s">
        <v>2876</v>
      </c>
    </row>
    <row r="77" spans="1:3" s="18" customFormat="1" x14ac:dyDescent="0.25">
      <c r="A77" s="18" t="s">
        <v>2872</v>
      </c>
      <c r="B77" s="18" t="s">
        <v>2877</v>
      </c>
      <c r="C77" s="18" t="s">
        <v>2878</v>
      </c>
    </row>
    <row r="78" spans="1:3" s="18" customFormat="1" x14ac:dyDescent="0.25">
      <c r="A78" s="18" t="s">
        <v>2872</v>
      </c>
      <c r="B78" s="18" t="s">
        <v>2877</v>
      </c>
      <c r="C78" s="18" t="s">
        <v>2879</v>
      </c>
    </row>
    <row r="79" spans="1:3" s="18" customFormat="1" x14ac:dyDescent="0.25">
      <c r="A79" s="18" t="s">
        <v>2872</v>
      </c>
      <c r="B79" s="18" t="s">
        <v>2877</v>
      </c>
      <c r="C79" s="18" t="s">
        <v>2880</v>
      </c>
    </row>
    <row r="80" spans="1:3" s="18" customFormat="1" x14ac:dyDescent="0.25">
      <c r="A80" s="18" t="s">
        <v>2865</v>
      </c>
      <c r="B80" s="18" t="s">
        <v>2881</v>
      </c>
      <c r="C80" s="18" t="s">
        <v>2882</v>
      </c>
    </row>
    <row r="81" spans="1:4" s="18" customFormat="1" x14ac:dyDescent="0.25">
      <c r="A81" s="18" t="s">
        <v>2883</v>
      </c>
      <c r="B81" s="18" t="s">
        <v>2883</v>
      </c>
      <c r="C81" s="18" t="s">
        <v>2883</v>
      </c>
    </row>
    <row r="82" spans="1:4" s="18" customFormat="1" x14ac:dyDescent="0.25">
      <c r="A82" s="18" t="s">
        <v>2855</v>
      </c>
      <c r="B82" s="18" t="s">
        <v>2884</v>
      </c>
      <c r="C82" s="18" t="s">
        <v>2884</v>
      </c>
    </row>
    <row r="83" spans="1:4" s="18" customFormat="1" x14ac:dyDescent="0.25">
      <c r="A83" s="18" t="s">
        <v>2855</v>
      </c>
      <c r="B83" s="18" t="s">
        <v>2884</v>
      </c>
      <c r="C83" s="18" t="s">
        <v>2885</v>
      </c>
    </row>
    <row r="84" spans="1:4" s="18" customFormat="1" x14ac:dyDescent="0.25">
      <c r="A84" s="18" t="s">
        <v>2855</v>
      </c>
      <c r="B84" s="18" t="s">
        <v>2884</v>
      </c>
      <c r="C84" s="18" t="s">
        <v>2886</v>
      </c>
    </row>
    <row r="85" spans="1:4" s="18" customFormat="1" x14ac:dyDescent="0.25">
      <c r="A85" s="18" t="s">
        <v>2855</v>
      </c>
      <c r="B85" s="18" t="s">
        <v>2884</v>
      </c>
      <c r="C85" s="18" t="s">
        <v>2887</v>
      </c>
    </row>
    <row r="86" spans="1:4" x14ac:dyDescent="0.25">
      <c r="A86" s="18" t="s">
        <v>2855</v>
      </c>
      <c r="B86" s="18" t="s">
        <v>2884</v>
      </c>
      <c r="C86" s="18" t="s">
        <v>2888</v>
      </c>
      <c r="D86" s="18"/>
    </row>
    <row r="87" spans="1:4" x14ac:dyDescent="0.25">
      <c r="A87" s="18" t="s">
        <v>2889</v>
      </c>
      <c r="B87" s="18" t="s">
        <v>2890</v>
      </c>
      <c r="C87" s="18" t="s">
        <v>2891</v>
      </c>
      <c r="D87" s="18"/>
    </row>
    <row r="88" spans="1:4" x14ac:dyDescent="0.25">
      <c r="A88" s="18" t="s">
        <v>2889</v>
      </c>
      <c r="B88" s="18" t="s">
        <v>2890</v>
      </c>
      <c r="C88" s="18" t="s">
        <v>2892</v>
      </c>
      <c r="D88" s="18"/>
    </row>
    <row r="89" spans="1:4" x14ac:dyDescent="0.25">
      <c r="A89" s="18" t="s">
        <v>2893</v>
      </c>
      <c r="B89" s="18" t="s">
        <v>2894</v>
      </c>
      <c r="C89" s="18" t="s">
        <v>2895</v>
      </c>
      <c r="D89" s="18"/>
    </row>
    <row r="90" spans="1:4" x14ac:dyDescent="0.25">
      <c r="A90" s="18" t="s">
        <v>2893</v>
      </c>
      <c r="B90" s="18" t="s">
        <v>2894</v>
      </c>
      <c r="C90" s="18" t="s">
        <v>2896</v>
      </c>
      <c r="D90" s="18"/>
    </row>
    <row r="91" spans="1:4" x14ac:dyDescent="0.25">
      <c r="A91" s="18" t="s">
        <v>2893</v>
      </c>
      <c r="B91" s="18" t="s">
        <v>2897</v>
      </c>
      <c r="C91" s="18" t="s">
        <v>2898</v>
      </c>
      <c r="D91" s="18"/>
    </row>
    <row r="92" spans="1:4" x14ac:dyDescent="0.25">
      <c r="A92" s="18" t="s">
        <v>2893</v>
      </c>
      <c r="B92" s="18" t="s">
        <v>2899</v>
      </c>
      <c r="C92" s="18" t="s">
        <v>2900</v>
      </c>
      <c r="D92" s="18"/>
    </row>
    <row r="93" spans="1:4" x14ac:dyDescent="0.25">
      <c r="A93" s="18" t="s">
        <v>2889</v>
      </c>
      <c r="B93" s="18" t="s">
        <v>2890</v>
      </c>
      <c r="C93" s="18" t="s">
        <v>2901</v>
      </c>
      <c r="D93" s="18"/>
    </row>
    <row r="94" spans="1:4" x14ac:dyDescent="0.25">
      <c r="A94" s="18" t="s">
        <v>2889</v>
      </c>
      <c r="B94" s="18" t="s">
        <v>2902</v>
      </c>
      <c r="C94" s="18" t="s">
        <v>2902</v>
      </c>
      <c r="D94" s="18"/>
    </row>
    <row r="95" spans="1:4" x14ac:dyDescent="0.25">
      <c r="A95" s="18" t="s">
        <v>2889</v>
      </c>
      <c r="B95" s="18" t="s">
        <v>2903</v>
      </c>
      <c r="C95" s="18" t="s">
        <v>2904</v>
      </c>
      <c r="D95" s="18"/>
    </row>
    <row r="96" spans="1:4" x14ac:dyDescent="0.25">
      <c r="A96" s="18" t="s">
        <v>2889</v>
      </c>
      <c r="B96" s="18" t="s">
        <v>2905</v>
      </c>
      <c r="C96" s="18" t="s">
        <v>2906</v>
      </c>
      <c r="D96" s="18"/>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C931D60-6251-4727-A4CA-98A6F0A603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190</vt:i4>
      </vt:variant>
    </vt:vector>
  </HeadingPairs>
  <TitlesOfParts>
    <vt:vector size="195" baseType="lpstr">
      <vt:lpstr>Инструкция</vt:lpstr>
      <vt:lpstr>Форма</vt:lpstr>
      <vt:lpstr>Templates</vt:lpstr>
      <vt:lpstr>Лекторы</vt:lpstr>
      <vt:lpstr>Выпадающие списки</vt:lpstr>
      <vt:lpstr>address</vt:lpstr>
      <vt:lpstr>bank</vt:lpstr>
      <vt:lpstr>conference1</vt:lpstr>
      <vt:lpstr>conference10</vt:lpstr>
      <vt:lpstr>conference2</vt:lpstr>
      <vt:lpstr>conference3</vt:lpstr>
      <vt:lpstr>conference4</vt:lpstr>
      <vt:lpstr>conference5</vt:lpstr>
      <vt:lpstr>conference6</vt:lpstr>
      <vt:lpstr>conference7</vt:lpstr>
      <vt:lpstr>conference8</vt:lpstr>
      <vt:lpstr>conference9</vt:lpstr>
      <vt:lpstr>contact_address</vt:lpstr>
      <vt:lpstr>contact_name</vt:lpstr>
      <vt:lpstr>contact_title</vt:lpstr>
      <vt:lpstr>employer</vt:lpstr>
      <vt:lpstr>Grade</vt:lpstr>
      <vt:lpstr>initials</vt:lpstr>
      <vt:lpstr>issued</vt:lpstr>
      <vt:lpstr>name</vt:lpstr>
      <vt:lpstr>Rate</vt:lpstr>
      <vt:lpstr>service</vt:lpstr>
      <vt:lpstr>service_audience1</vt:lpstr>
      <vt:lpstr>service_audience10</vt:lpstr>
      <vt:lpstr>service_audience2</vt:lpstr>
      <vt:lpstr>service_audience3</vt:lpstr>
      <vt:lpstr>service_audience4</vt:lpstr>
      <vt:lpstr>service_audience5</vt:lpstr>
      <vt:lpstr>service_audience6</vt:lpstr>
      <vt:lpstr>service_audience7</vt:lpstr>
      <vt:lpstr>service_audience8</vt:lpstr>
      <vt:lpstr>service_audience9</vt:lpstr>
      <vt:lpstr>service_date1</vt:lpstr>
      <vt:lpstr>service_location1</vt:lpstr>
      <vt:lpstr>service_location10</vt:lpstr>
      <vt:lpstr>service_location2</vt:lpstr>
      <vt:lpstr>service_location3</vt:lpstr>
      <vt:lpstr>service_location4</vt:lpstr>
      <vt:lpstr>service_location5</vt:lpstr>
      <vt:lpstr>service_location6</vt:lpstr>
      <vt:lpstr>service_location7</vt:lpstr>
      <vt:lpstr>service_location8</vt:lpstr>
      <vt:lpstr>service_location9</vt:lpstr>
      <vt:lpstr>service_result1</vt:lpstr>
      <vt:lpstr>service_result10</vt:lpstr>
      <vt:lpstr>service_result2</vt:lpstr>
      <vt:lpstr>service_result3</vt:lpstr>
      <vt:lpstr>service_result4</vt:lpstr>
      <vt:lpstr>service_result5</vt:lpstr>
      <vt:lpstr>service_result6</vt:lpstr>
      <vt:lpstr>service_result7</vt:lpstr>
      <vt:lpstr>service_result8</vt:lpstr>
      <vt:lpstr>service_result9</vt:lpstr>
      <vt:lpstr>service_topic1</vt:lpstr>
      <vt:lpstr>service_topic10</vt:lpstr>
      <vt:lpstr>service_topic2</vt:lpstr>
      <vt:lpstr>service_topic3</vt:lpstr>
      <vt:lpstr>service_topic4</vt:lpstr>
      <vt:lpstr>service_topic5</vt:lpstr>
      <vt:lpstr>service_topic6</vt:lpstr>
      <vt:lpstr>service_topic7</vt:lpstr>
      <vt:lpstr>service_topic8</vt:lpstr>
      <vt:lpstr>service_topic9</vt:lpstr>
      <vt:lpstr>service_type1</vt:lpstr>
      <vt:lpstr>service_type10</vt:lpstr>
      <vt:lpstr>service_type2</vt:lpstr>
      <vt:lpstr>service_type3</vt:lpstr>
      <vt:lpstr>service_type4</vt:lpstr>
      <vt:lpstr>service_type5</vt:lpstr>
      <vt:lpstr>service_type6</vt:lpstr>
      <vt:lpstr>service_type7</vt:lpstr>
      <vt:lpstr>service_type8</vt:lpstr>
      <vt:lpstr>service_type9</vt:lpstr>
      <vt:lpstr>title</vt:lpstr>
      <vt:lpstr>адрес</vt:lpstr>
      <vt:lpstr>адрес_контакта</vt:lpstr>
      <vt:lpstr>Аудитория</vt:lpstr>
      <vt:lpstr>аудитория_услуг1</vt:lpstr>
      <vt:lpstr>аудитория_услуг10</vt:lpstr>
      <vt:lpstr>аудитория_услуг2</vt:lpstr>
      <vt:lpstr>аудитория_услуг3</vt:lpstr>
      <vt:lpstr>аудитория_услуг4</vt:lpstr>
      <vt:lpstr>аудитория_услуг5</vt:lpstr>
      <vt:lpstr>аудитория_услуг6</vt:lpstr>
      <vt:lpstr>аудитория_услуг7</vt:lpstr>
      <vt:lpstr>аудитория_услуг8</vt:lpstr>
      <vt:lpstr>аудитория_услуг9</vt:lpstr>
      <vt:lpstr>банк</vt:lpstr>
      <vt:lpstr>бик</vt:lpstr>
      <vt:lpstr>выдан</vt:lpstr>
      <vt:lpstr>дата_услуг1</vt:lpstr>
      <vt:lpstr>дата_услуг10</vt:lpstr>
      <vt:lpstr>дата_услуг2</vt:lpstr>
      <vt:lpstr>дата_услуг3</vt:lpstr>
      <vt:lpstr>дата_услуг4</vt:lpstr>
      <vt:lpstr>дата_услуг5</vt:lpstr>
      <vt:lpstr>дата_услуг6</vt:lpstr>
      <vt:lpstr>дата_услуг7</vt:lpstr>
      <vt:lpstr>дата_услуг8</vt:lpstr>
      <vt:lpstr>дата_услуг9</vt:lpstr>
      <vt:lpstr>должность</vt:lpstr>
      <vt:lpstr>должность_контакта</vt:lpstr>
      <vt:lpstr>инн</vt:lpstr>
      <vt:lpstr>калькуляция</vt:lpstr>
      <vt:lpstr>колво1</vt:lpstr>
      <vt:lpstr>колво10</vt:lpstr>
      <vt:lpstr>колво2</vt:lpstr>
      <vt:lpstr>колво3</vt:lpstr>
      <vt:lpstr>колво4</vt:lpstr>
      <vt:lpstr>колво5</vt:lpstr>
      <vt:lpstr>колво6</vt:lpstr>
      <vt:lpstr>колво7</vt:lpstr>
      <vt:lpstr>колво8</vt:lpstr>
      <vt:lpstr>колво9</vt:lpstr>
      <vt:lpstr>конференция1</vt:lpstr>
      <vt:lpstr>конференция10</vt:lpstr>
      <vt:lpstr>конференция2</vt:lpstr>
      <vt:lpstr>конференция3</vt:lpstr>
      <vt:lpstr>конференция4</vt:lpstr>
      <vt:lpstr>конференция5</vt:lpstr>
      <vt:lpstr>конференция6</vt:lpstr>
      <vt:lpstr>конференция7</vt:lpstr>
      <vt:lpstr>конференция8</vt:lpstr>
      <vt:lpstr>конференция9</vt:lpstr>
      <vt:lpstr>ксчет</vt:lpstr>
      <vt:lpstr>место_работы</vt:lpstr>
      <vt:lpstr>место_услуг1</vt:lpstr>
      <vt:lpstr>место_услуг10</vt:lpstr>
      <vt:lpstr>место_услуг2</vt:lpstr>
      <vt:lpstr>место_услуг3</vt:lpstr>
      <vt:lpstr>место_услуг4</vt:lpstr>
      <vt:lpstr>место_услуг5</vt:lpstr>
      <vt:lpstr>место_услуг6</vt:lpstr>
      <vt:lpstr>место_услуг7</vt:lpstr>
      <vt:lpstr>место_услуг8</vt:lpstr>
      <vt:lpstr>место_услуг9</vt:lpstr>
      <vt:lpstr>паспорт</vt:lpstr>
      <vt:lpstr>паспорт_дата</vt:lpstr>
      <vt:lpstr>результат_услуг1</vt:lpstr>
      <vt:lpstr>результат_услуг10</vt:lpstr>
      <vt:lpstr>результат_услуг2</vt:lpstr>
      <vt:lpstr>результат_услуг3</vt:lpstr>
      <vt:lpstr>результат_услуг4</vt:lpstr>
      <vt:lpstr>результат_услуг5</vt:lpstr>
      <vt:lpstr>результат_услуг6</vt:lpstr>
      <vt:lpstr>результат_услуг7</vt:lpstr>
      <vt:lpstr>результат_услуг8</vt:lpstr>
      <vt:lpstr>результат_услуг9</vt:lpstr>
      <vt:lpstr>результаты_услуг</vt:lpstr>
      <vt:lpstr>снилс</vt:lpstr>
      <vt:lpstr>событие</vt:lpstr>
      <vt:lpstr>ставка1</vt:lpstr>
      <vt:lpstr>ставка10</vt:lpstr>
      <vt:lpstr>ставка2</vt:lpstr>
      <vt:lpstr>ставка3</vt:lpstr>
      <vt:lpstr>ставка4</vt:lpstr>
      <vt:lpstr>ставка5</vt:lpstr>
      <vt:lpstr>ставка6</vt:lpstr>
      <vt:lpstr>ставка7</vt:lpstr>
      <vt:lpstr>ставка8</vt:lpstr>
      <vt:lpstr>ставка9</vt:lpstr>
      <vt:lpstr>сумма</vt:lpstr>
      <vt:lpstr>счет</vt:lpstr>
      <vt:lpstr>телефон</vt:lpstr>
      <vt:lpstr>телефон_контакта</vt:lpstr>
      <vt:lpstr>тема_услуг1</vt:lpstr>
      <vt:lpstr>тема_услуг10</vt:lpstr>
      <vt:lpstr>тема_услуг2</vt:lpstr>
      <vt:lpstr>тема_услуг3</vt:lpstr>
      <vt:lpstr>тема_услуг4</vt:lpstr>
      <vt:lpstr>тема_услуг5</vt:lpstr>
      <vt:lpstr>тема_услуг6</vt:lpstr>
      <vt:lpstr>тема_услуг7</vt:lpstr>
      <vt:lpstr>тема_услуг8</vt:lpstr>
      <vt:lpstr>тема_услуг9</vt:lpstr>
      <vt:lpstr>тип_услуг1</vt:lpstr>
      <vt:lpstr>тип_услуг10</vt:lpstr>
      <vt:lpstr>тип_услуг2</vt:lpstr>
      <vt:lpstr>тип_услуг3</vt:lpstr>
      <vt:lpstr>тип_услуг4</vt:lpstr>
      <vt:lpstr>тип_услуг5</vt:lpstr>
      <vt:lpstr>тип_услуг6</vt:lpstr>
      <vt:lpstr>тип_услуг7</vt:lpstr>
      <vt:lpstr>тип_услуг8</vt:lpstr>
      <vt:lpstr>тип_услуг9</vt:lpstr>
      <vt:lpstr>Услуга</vt:lpstr>
      <vt:lpstr>Услуги</vt:lpstr>
      <vt:lpstr>финиц</vt:lpstr>
      <vt:lpstr>ФИО</vt:lpstr>
      <vt:lpstr>фио_контакта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Baxter ESB-Win7 v1.0.2016.07</cp:lastModifiedBy>
  <dcterms:created xsi:type="dcterms:W3CDTF">2006-09-16T00:00:00Z</dcterms:created>
  <dcterms:modified xsi:type="dcterms:W3CDTF">2019-01-21T13:16:31Z</dcterms:modified>
</cp:coreProperties>
</file>