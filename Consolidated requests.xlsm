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vbaProjectSignature.bin" ContentType="application/vnd.ms-office.vbaProjectSignature"/>
  <Override PartName="/xl/vbaProjectSignatureAgile.bin" ContentType="application/vnd.ms-office.vbaProjectSignatureAgi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74837BA0-65D6-932C-5D65-3B800EBDC722}"/>
  <workbookPr filterPrivacy="1" codeName="ThisWorkbook"/>
  <xr:revisionPtr revIDLastSave="0" documentId="13_ncr:1_{6C1CE246-C4DF-4F1B-8740-78953B409081}" xr6:coauthVersionLast="44" xr6:coauthVersionMax="44" xr10:uidLastSave="{00000000-0000-0000-0000-000000000000}"/>
  <bookViews>
    <workbookView xWindow="20370" yWindow="-120" windowWidth="29040" windowHeight="15990" xr2:uid="{00000000-000D-0000-FFFF-FFFF00000000}"/>
  </bookViews>
  <sheets>
    <sheet name="Заявки" sheetId="1" r:id="rId1"/>
    <sheet name="Pivot" sheetId="3" r:id="rId2"/>
    <sheet name="KPI для подключения" sheetId="2" r:id="rId3"/>
  </sheets>
  <calcPr calcId="191029"/>
  <pivotCaches>
    <pivotCache cacheId="1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2">
    <s v="SWE_OLAP_Beiersdorf_STD SalesWorks"/>
    <s v="[Date].[Month Of Year].&amp;[7]"/>
    <s v="[Date].[Month Of Year].&amp;[6]"/>
    <s v="[Date].[Month Of Year].&amp;[5]"/>
    <s v="[Date].[Month Of Year].&amp;[4]"/>
    <s v="[Date].[Month Of Year].&amp;[3]"/>
    <s v="[Date].[Month Of Year].&amp;[2]"/>
    <s v="[Date].[Month Of Year].&amp;[1]"/>
    <s v="[Date].[Month Of Year].&amp;[12]"/>
    <s v="[Date].[Month Of Year].&amp;[11]"/>
    <s v="[Date].[Month Of Year].&amp;[10]"/>
    <s v="[Date].[Month Of Year].&amp;[9]"/>
  </metadataStrings>
  <mdxMetadata count="11">
    <mdx n="0" f="m">
      <t c="1">
        <n x="1"/>
      </t>
    </mdx>
    <mdx n="0" f="m">
      <t c="1">
        <n x="2"/>
      </t>
    </mdx>
    <mdx n="0" f="m">
      <t c="1">
        <n x="3"/>
      </t>
    </mdx>
    <mdx n="0" f="m">
      <t c="1">
        <n x="4"/>
      </t>
    </mdx>
    <mdx n="0" f="m">
      <t c="1">
        <n x="5"/>
      </t>
    </mdx>
    <mdx n="0" f="m">
      <t c="1">
        <n x="6"/>
      </t>
    </mdx>
    <mdx n="0" f="m">
      <t c="1">
        <n x="7"/>
      </t>
    </mdx>
    <mdx n="0" f="m">
      <t c="1">
        <n x="8"/>
      </t>
    </mdx>
    <mdx n="0" f="m">
      <t c="1">
        <n x="9"/>
      </t>
    </mdx>
    <mdx n="0" f="m">
      <t c="1">
        <n x="10"/>
      </t>
    </mdx>
    <mdx n="0" f="m">
      <t c="1">
        <n x="11"/>
      </t>
    </mdx>
  </mdx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<sst xmlns="http://schemas.openxmlformats.org/spreadsheetml/2006/main" count="81" uniqueCount="79">
  <si>
    <t>код SWE из CRM</t>
  </si>
  <si>
    <t>ID Easy merch</t>
  </si>
  <si>
    <t>Регион</t>
  </si>
  <si>
    <t>Город</t>
  </si>
  <si>
    <t>Адрес</t>
  </si>
  <si>
    <t>Канал ТС</t>
  </si>
  <si>
    <t>Действие (удалить\добавить\изменить длительность работы в ТТ)</t>
  </si>
  <si>
    <t>пн</t>
  </si>
  <si>
    <t>вт</t>
  </si>
  <si>
    <t>ср</t>
  </si>
  <si>
    <t>чт</t>
  </si>
  <si>
    <t>пт</t>
  </si>
  <si>
    <t>сб</t>
  </si>
  <si>
    <t>вс</t>
  </si>
  <si>
    <t>комментарий S&amp;CM</t>
  </si>
  <si>
    <t xml:space="preserve">Среднемесячные продажи &gt; 55 тыс.руб PS.*Кооператоры  Nielsen &gt; 22 тыс.руб
Присутствие всех ключевых категорий BDF, матрица &gt;80 SKU
</t>
  </si>
  <si>
    <t>Среднемесячный оборот, тыс.руб</t>
  </si>
  <si>
    <t>Рекомендуемая длительность визита</t>
  </si>
  <si>
    <t>&gt; 550</t>
  </si>
  <si>
    <t>Стационарный мерчандайзер</t>
  </si>
  <si>
    <t>8 ч х 5 дней= 40 ч\неделю</t>
  </si>
  <si>
    <t>Modern Trade (HM, C&amp;C, SM)</t>
  </si>
  <si>
    <t>330 - 550</t>
  </si>
  <si>
    <t>4 ч х 3 дня= 12 ч/нед</t>
  </si>
  <si>
    <t>110 - 330</t>
  </si>
  <si>
    <t>3 ч х 2 дней= 6 ч/нед</t>
  </si>
  <si>
    <t>66 - 110</t>
  </si>
  <si>
    <t>1,5 ч х 2 дня= 3 ч/нед</t>
  </si>
  <si>
    <t>55 - 66</t>
  </si>
  <si>
    <r>
      <t>1 ч х 1 день= 1 ч\</t>
    </r>
    <r>
      <rPr>
        <b/>
        <sz val="12"/>
        <color rgb="FF00B050"/>
        <rFont val="Arial"/>
        <family val="2"/>
        <charset val="204"/>
      </rPr>
      <t xml:space="preserve"> 2 раза в нед</t>
    </r>
  </si>
  <si>
    <t>Perfumeries &amp; Drogeries</t>
  </si>
  <si>
    <t>165 - 550</t>
  </si>
  <si>
    <t>2 ч х 2 дня= 4 ч/нед</t>
  </si>
  <si>
    <t>110 - 165</t>
  </si>
  <si>
    <t>3 ч х 1 день= 3 ч/нед</t>
  </si>
  <si>
    <t>2 ч х 1 день= 2 ч/нед</t>
  </si>
  <si>
    <r>
      <t xml:space="preserve">1 ч х 1 день= 1 ч\ </t>
    </r>
    <r>
      <rPr>
        <b/>
        <sz val="12"/>
        <color rgb="FF00B050"/>
        <rFont val="Arial"/>
        <family val="2"/>
        <charset val="204"/>
      </rPr>
      <t>2 раза в нед</t>
    </r>
  </si>
  <si>
    <t>M-2</t>
  </si>
  <si>
    <t>M-3</t>
  </si>
  <si>
    <t>M-4</t>
  </si>
  <si>
    <t>M-5</t>
  </si>
  <si>
    <t>M-6</t>
  </si>
  <si>
    <t>M-7</t>
  </si>
  <si>
    <t>M-8</t>
  </si>
  <si>
    <t>M-9</t>
  </si>
  <si>
    <t>M-10</t>
  </si>
  <si>
    <t>M-11</t>
  </si>
  <si>
    <t>M-12</t>
  </si>
  <si>
    <t>Тайминг по KPI (минут в неделю)</t>
  </si>
  <si>
    <t>Текущий тайминг (минут в неделю)</t>
  </si>
  <si>
    <t>ФИО</t>
  </si>
  <si>
    <t>Желаемый тайминг, минут в неделю</t>
  </si>
  <si>
    <t>Grand Total</t>
  </si>
  <si>
    <t>Row Labels</t>
  </si>
  <si>
    <t>Count of Действие</t>
  </si>
  <si>
    <t>Sum of Текущий тайминг</t>
  </si>
  <si>
    <t>Sum of Желаемый тайминг</t>
  </si>
  <si>
    <t>Sum of Dif</t>
  </si>
  <si>
    <t>(blank)</t>
  </si>
  <si>
    <t>Даниленко Д.Д.</t>
  </si>
  <si>
    <t>Данилов Д.Л.</t>
  </si>
  <si>
    <t>Шелудько А. С.</t>
  </si>
  <si>
    <t>Название сети</t>
  </si>
  <si>
    <t>Формат по Nielsen</t>
  </si>
  <si>
    <t>Кооператор Nielsen</t>
  </si>
  <si>
    <t>Среднемесячные продажи</t>
  </si>
  <si>
    <t xml:space="preserve">Среднемесячные продажи HY (PS) </t>
  </si>
  <si>
    <t>РЦ</t>
  </si>
  <si>
    <t>комментарий Sales</t>
  </si>
  <si>
    <t>M-13</t>
  </si>
  <si>
    <t>Багаутдинов В.А</t>
  </si>
  <si>
    <t>Дзимидович С</t>
  </si>
  <si>
    <t>Дронова Е В</t>
  </si>
  <si>
    <t>Журавлёва А.С.</t>
  </si>
  <si>
    <t>Кудинова Н.</t>
  </si>
  <si>
    <t>Луконин М.В.</t>
  </si>
  <si>
    <t>Никифоров М.В.</t>
  </si>
  <si>
    <t>Сапунова Е.В.</t>
  </si>
  <si>
    <t>Терентьева И.Н.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</si>
</sst>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9"/>
      <color theme="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9"/>
      <color theme="0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b/>
      <sz val="11"/>
      <color rgb="FF00136F"/>
      <name val="Arial"/>
      <family val="2"/>
      <charset val="204"/>
    </font>
    <font>
      <b/>
      <sz val="11"/>
      <color rgb="FFFFFFFF"/>
      <name val="Arial"/>
      <family val="2"/>
      <charset val="204"/>
    </font>
    <font>
      <b/>
      <sz val="12"/>
      <color rgb="FF00136F"/>
      <name val="Arial"/>
      <family val="2"/>
      <charset val="204"/>
    </font>
    <font>
      <sz val="12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2"/>
      <color rgb="FF00B050"/>
      <name val="Arial"/>
      <family val="2"/>
      <charset val="204"/>
    </font>
    <font>
      <b/>
      <sz val="12"/>
      <color rgb="FF002060"/>
      <name val="Arial"/>
      <family val="2"/>
      <charset val="204"/>
    </font>
    <font>
      <sz val="11"/>
      <color rgb="FF000000"/>
      <name val="Calibri"/>
      <family val="2"/>
      <charset val="204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136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4D4D8C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rgb="FF1F497D"/>
      </top>
      <bottom style="medium">
        <color rgb="FF1F497D"/>
      </bottom>
      <diagonal/>
    </border>
    <border>
      <left style="medium">
        <color indexed="64"/>
      </left>
      <right style="medium">
        <color indexed="64"/>
      </right>
      <top style="hair">
        <color rgb="FF595959"/>
      </top>
      <bottom style="hair">
        <color rgb="FF595959"/>
      </bottom>
      <diagonal/>
    </border>
    <border>
      <left/>
      <right style="medium">
        <color indexed="64"/>
      </right>
      <top style="hair">
        <color rgb="FF595959"/>
      </top>
      <bottom style="hair">
        <color rgb="FF595959"/>
      </bottom>
      <diagonal/>
    </border>
    <border>
      <left style="medium">
        <color indexed="64"/>
      </left>
      <right style="medium">
        <color indexed="64"/>
      </right>
      <top style="hair">
        <color rgb="FF595959"/>
      </top>
      <bottom style="medium">
        <color indexed="64"/>
      </bottom>
      <diagonal/>
    </border>
    <border>
      <left/>
      <right style="medium">
        <color indexed="64"/>
      </right>
      <top style="hair">
        <color rgb="FF59595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4" fillId="0" borderId="0"/>
    <xf numFmtId="0" fontId="1" fillId="0" borderId="0"/>
  </cellStyleXfs>
  <cellXfs count="23">
    <xf numFmtId="0" fontId="0" fillId="0" borderId="0" xfId="0"/>
    <xf numFmtId="0" fontId="1" fillId="0" borderId="0" xfId="3"/>
    <xf numFmtId="0" fontId="7" fillId="0" borderId="1" xfId="3" applyFont="1" applyBorder="1" applyAlignment="1">
      <alignment horizontal="center" vertical="center" wrapText="1" readingOrder="1"/>
    </xf>
    <xf numFmtId="0" fontId="8" fillId="4" borderId="1" xfId="3" applyFont="1" applyFill="1" applyBorder="1" applyAlignment="1">
      <alignment horizontal="center" vertical="center" wrapText="1" readingOrder="1"/>
    </xf>
    <xf numFmtId="0" fontId="9" fillId="5" borderId="3" xfId="3" applyFont="1" applyFill="1" applyBorder="1" applyAlignment="1">
      <alignment horizontal="center" vertical="center" wrapText="1" readingOrder="1"/>
    </xf>
    <xf numFmtId="0" fontId="10" fillId="6" borderId="2" xfId="3" applyFont="1" applyFill="1" applyBorder="1" applyAlignment="1">
      <alignment horizontal="center" vertical="center" wrapText="1"/>
    </xf>
    <xf numFmtId="0" fontId="11" fillId="6" borderId="3" xfId="3" applyFont="1" applyFill="1" applyBorder="1" applyAlignment="1">
      <alignment horizontal="center" vertical="center" wrapText="1" readingOrder="1"/>
    </xf>
    <xf numFmtId="0" fontId="9" fillId="0" borderId="2" xfId="3" applyFont="1" applyBorder="1" applyAlignment="1">
      <alignment horizontal="center" vertical="center" wrapText="1" readingOrder="1"/>
    </xf>
    <xf numFmtId="0" fontId="13" fillId="5" borderId="3" xfId="3" applyFont="1" applyFill="1" applyBorder="1" applyAlignment="1">
      <alignment horizontal="center" vertical="center" wrapText="1" readingOrder="1"/>
    </xf>
    <xf numFmtId="0" fontId="9" fillId="0" borderId="4" xfId="3" applyFont="1" applyBorder="1" applyAlignment="1">
      <alignment horizontal="center" vertical="center" wrapText="1" readingOrder="1"/>
    </xf>
    <xf numFmtId="0" fontId="9" fillId="5" borderId="5" xfId="3" applyFont="1" applyFill="1" applyBorder="1" applyAlignment="1">
      <alignment horizontal="center" vertical="center" wrapText="1" readingOrder="1"/>
    </xf>
    <xf numFmtId="0" fontId="1" fillId="0" borderId="0" xfId="3" applyFont="1" applyAlignment="1">
      <alignment horizontal="center" readingOrder="1"/>
    </xf>
    <xf numFmtId="0" fontId="3" fillId="3" borderId="6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5" fillId="3" borderId="7" xfId="2" applyFont="1" applyFill="1" applyBorder="1" applyAlignment="1">
      <alignment horizontal="center" vertical="center" wrapText="1"/>
    </xf>
    <xf numFmtId="0" fontId="5" fillId="3" borderId="7" xfId="2" applyFont="1" applyFill="1" applyBorder="1" applyAlignment="1" applyProtection="1">
      <alignment horizontal="center" vertical="center" wrapText="1"/>
      <protection locked="0"/>
    </xf>
    <xf numFmtId="165" fontId="5" fillId="2" borderId="7" xfId="1" applyNumberFormat="1" applyFont="1" applyFill="1" applyBorder="1" applyAlignment="1">
      <alignment horizontal="center" vertical="center" wrapText="1"/>
    </xf>
    <xf numFmtId="0" fontId="6" fillId="0" borderId="0" xfId="3" applyFont="1" applyAlignment="1">
      <alignment horizontal="left" wrapText="1"/>
    </xf>
    <xf numFmtId="0" fontId="9" fillId="0" borderId="2" xfId="3" applyFont="1" applyBorder="1" applyAlignment="1">
      <alignment horizontal="center" vertical="center" wrapText="1" readingOrder="1"/>
    </xf>
  </cellXfs>
  <cellStyles count="4">
    <cellStyle name="Comma" xfId="1" builtinId="3"/>
    <cellStyle name="Normal" xfId="0" builtinId="0"/>
    <cellStyle name="Normal 2" xfId="3" xr:uid="{6F1096E7-C67F-48F6-A29A-DE62BC33EA13}"/>
    <cellStyle name="Обычный_Книга1" xfId="2" xr:uid="{79BD8DC2-76A6-4DEA-A222-6081C60CDCC2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charset val="204"/>
        <scheme val="minor"/>
      </font>
      <numFmt numFmtId="165" formatCode="_-* #,##0\ _₽_-;\-* #,##0\ _₽_-;_-* &quot;-&quot;??\ _₽_-;_-@_-"/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&#65279;<?xml version="1.0" encoding="UTF-8" standalone="yes"?>
<Relationships xmlns="http://schemas.openxmlformats.org/package/2006/relationships">
  <Relationship Id="rId1" Type="http://schemas.microsoft.com/office/2006/relationships/vbaProjectSignature" Target="vbaProjectSignature.bin" />
  <Relationship Id="rId2" Type="http://schemas.microsoft.com/office/2014/relationships/vbaProjectSignatureAgile" Target="vbaProjectSignatureAgile.bin" />
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57150</xdr:rowOff>
        </xdr:from>
        <xdr:to>
          <xdr:col>1</xdr:col>
          <xdr:colOff>600075</xdr:colOff>
          <xdr:row>0</xdr:row>
          <xdr:rowOff>542925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Обработать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57150</xdr:rowOff>
        </xdr:from>
        <xdr:to>
          <xdr:col>4</xdr:col>
          <xdr:colOff>1819275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4159.388787615739" createdVersion="6" refreshedVersion="6" minRefreshableVersion="3" recordCount="97" xr:uid="{56751BBB-A54F-4DAC-BC26-7648A51EB1B5}">
  <cacheSource type="worksheet">
    <worksheetSource name="Table4"/>
  </cacheSource>
  <cacheFields count="39">
    <cacheField name="код SWE из CRM" numFmtId="0">
      <sharedItems containsBlank="1" containsMixedTypes="1" containsNumber="1" containsInteger="1" minValue="28810" maxValue="1024602081"/>
    </cacheField>
    <cacheField name="ID Easy merch" numFmtId="0">
      <sharedItems containsString="0" containsBlank="1" containsNumber="1" containsInteger="1" minValue="2655" maxValue="360094"/>
    </cacheField>
    <cacheField name="Регион" numFmtId="0">
      <sharedItems containsBlank="1"/>
    </cacheField>
    <cacheField name="Город" numFmtId="0">
      <sharedItems containsBlank="1"/>
    </cacheField>
    <cacheField name="Название сети" numFmtId="0">
      <sharedItems containsBlank="1"/>
    </cacheField>
    <cacheField name="Адрес" numFmtId="0">
      <sharedItems containsBlank="1"/>
    </cacheField>
    <cacheField name="Формат по Nielsen" numFmtId="0">
      <sharedItems containsBlank="1"/>
    </cacheField>
    <cacheField name="Канал ТС" numFmtId="0">
      <sharedItems containsBlank="1"/>
    </cacheField>
    <cacheField name="Кооператор Nielsen" numFmtId="0">
      <sharedItems containsBlank="1"/>
    </cacheField>
    <cacheField name="Среднемесячные продажи" numFmtId="0">
      <sharedItems containsString="0" containsBlank="1" containsNumber="1" minValue="8291.4" maxValue="1083972.49"/>
    </cacheField>
    <cacheField name="Среднемесячные продажи HY (PS) " numFmtId="0">
      <sharedItems containsString="0" containsBlank="1" containsNumber="1" minValue="690.95" maxValue="722648.33"/>
    </cacheField>
    <cacheField name="M-2" numFmtId="0">
      <sharedItems containsBlank="1" containsMixedTypes="1" containsNumber="1" minValue="-730.28" maxValue="737766.90999999992"/>
    </cacheField>
    <cacheField name="M-3" numFmtId="0">
      <sharedItems containsBlank="1" containsMixedTypes="1" containsNumber="1" minValue="10107.959999999999" maxValue="341147.1320000001"/>
    </cacheField>
    <cacheField name="M-4" numFmtId="0">
      <sharedItems containsBlank="1" containsMixedTypes="1" containsNumber="1" minValue="20370.796000000002" maxValue="2084421.4900000009"/>
    </cacheField>
    <cacheField name="M-5" numFmtId="0">
      <sharedItems containsBlank="1" containsMixedTypes="1" containsNumber="1" minValue="9956.8700000000026" maxValue="978929.11000000034"/>
    </cacheField>
    <cacheField name="M-6" numFmtId="0">
      <sharedItems containsBlank="1" containsMixedTypes="1" containsNumber="1" minValue="3158.0729999999999" maxValue="195069.02600000004"/>
    </cacheField>
    <cacheField name="M-7" numFmtId="0">
      <sharedItems containsBlank="1" containsMixedTypes="1" containsNumber="1" minValue="9443.3000000000011" maxValue="889526.7200000002"/>
    </cacheField>
    <cacheField name="M-8" numFmtId="0">
      <sharedItems containsBlank="1" containsMixedTypes="1" containsNumber="1" minValue="22145.016000000003" maxValue="227336.11599999995"/>
    </cacheField>
    <cacheField name="M-9" numFmtId="0">
      <sharedItems containsBlank="1" containsMixedTypes="1" containsNumber="1" minValue="20140.013000000003" maxValue="1282420.6600000004"/>
    </cacheField>
    <cacheField name="M-10" numFmtId="0">
      <sharedItems containsBlank="1" containsMixedTypes="1" containsNumber="1" minValue="5068.152" maxValue="1470609.8899999992"/>
    </cacheField>
    <cacheField name="M-11" numFmtId="0">
      <sharedItems containsBlank="1" containsMixedTypes="1" containsNumber="1" minValue="11547.233999999999" maxValue="297486.10600000003"/>
    </cacheField>
    <cacheField name="M-12" numFmtId="0">
      <sharedItems containsBlank="1" containsMixedTypes="1" containsNumber="1" minValue="-35445.992000000006" maxValue="1073460.932"/>
    </cacheField>
    <cacheField name="M-13" numFmtId="0">
      <sharedItems containsBlank="1" containsMixedTypes="1" containsNumber="1" minValue="9223.3560000000016" maxValue="1120863.4960000007"/>
    </cacheField>
    <cacheField name="РЦ" numFmtId="0">
      <sharedItems containsBlank="1"/>
    </cacheField>
    <cacheField name="Тайминг по KPI (минут в неделю)" numFmtId="0">
      <sharedItems containsBlank="1" containsMixedTypes="1" containsNumber="1" containsInteger="1" minValue="0" maxValue="2400"/>
    </cacheField>
    <cacheField name="Текущий тайминг (минут в неделю)" numFmtId="0">
      <sharedItems containsString="0" containsBlank="1" containsNumber="1" containsInteger="1" minValue="30" maxValue="1620"/>
    </cacheField>
    <cacheField name="Желаемый тайминг, минут в неделю" numFmtId="0">
      <sharedItems containsString="0" containsBlank="1" containsNumber="1" containsInteger="1" minValue="0" maxValue="2400"/>
    </cacheField>
    <cacheField name="Действие (удалить\добавить\изменить длительность работы в ТТ)" numFmtId="0">
      <sharedItems containsBlank="1"/>
    </cacheField>
    <cacheField name="пн" numFmtId="0">
      <sharedItems containsString="0" containsBlank="1" containsNumber="1" containsInteger="1" minValue="8" maxValue="480"/>
    </cacheField>
    <cacheField name="вт" numFmtId="0">
      <sharedItems containsString="0" containsBlank="1" containsNumber="1" containsInteger="1" minValue="1" maxValue="480"/>
    </cacheField>
    <cacheField name="ср" numFmtId="0">
      <sharedItems containsString="0" containsBlank="1" containsNumber="1" containsInteger="1" minValue="8" maxValue="480"/>
    </cacheField>
    <cacheField name="чт" numFmtId="0">
      <sharedItems containsString="0" containsBlank="1" containsNumber="1" containsInteger="1" minValue="1" maxValue="480"/>
    </cacheField>
    <cacheField name="пт" numFmtId="0">
      <sharedItems containsString="0" containsBlank="1" containsNumber="1" containsInteger="1" minValue="8" maxValue="480"/>
    </cacheField>
    <cacheField name="сб" numFmtId="0">
      <sharedItems containsNonDate="0" containsString="0" containsBlank="1"/>
    </cacheField>
    <cacheField name="вс" numFmtId="0">
      <sharedItems containsNonDate="0" containsString="0" containsBlank="1"/>
    </cacheField>
    <cacheField name="комментарий Sales" numFmtId="0">
      <sharedItems containsBlank="1" containsMixedTypes="1" containsNumber="1" containsInteger="1" minValue="1" maxValue="1"/>
    </cacheField>
    <cacheField name="комментарий S&amp;CM" numFmtId="0">
      <sharedItems containsNonDate="0" containsString="0" containsBlank="1"/>
    </cacheField>
    <cacheField name="ФИО" numFmtId="0">
      <sharedItems containsBlank="1" containsMixedTypes="1" containsNumber="1" containsInteger="1" minValue="0" maxValue="0" count="14">
        <m/>
        <s v="Багаутдинов В.А"/>
        <s v="Даниленко Д.Д."/>
        <s v="Данилов Д.Л."/>
        <s v="Дзимидович С"/>
        <s v="Дронова Е В"/>
        <s v="Журавлёва А.С."/>
        <n v="0"/>
        <s v="Кудинова Н."/>
        <s v="Луконин М.В."/>
        <s v="Никифоров М.В."/>
        <s v="Сапунова Е.В."/>
        <s v="Терентьева И.Н."/>
        <s v="Шелудько А. С."/>
      </sharedItems>
    </cacheField>
    <cacheField name="Dif" numFmtId="0" formula="'Текущий тайминг (минут в неделю)'-'Желаемый тайминг, минут в неделю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s v="1000000000072259"/>
    <m/>
    <m/>
    <m/>
    <s v="Лента"/>
    <s v="Санкт-Петербург г. Коллонтай ул д.10"/>
    <s v="Hypermarket (Гипермаркет)"/>
    <s v="Modern Trade"/>
    <s v="Scantrack"/>
    <n v="60431.38"/>
    <n v="5035.95"/>
    <n v="60431.380000000019"/>
    <m/>
    <m/>
    <m/>
    <m/>
    <m/>
    <m/>
    <m/>
    <m/>
    <m/>
    <m/>
    <m/>
    <s v="Нет"/>
    <n v="0"/>
    <m/>
    <n v="360"/>
    <m/>
    <m/>
    <m/>
    <m/>
    <m/>
    <m/>
    <m/>
    <m/>
    <s v="новая лента, продажи октября 197312,12"/>
    <m/>
    <x v="0"/>
  </r>
  <r>
    <s v="1000000000072260"/>
    <m/>
    <m/>
    <m/>
    <s v="Лента"/>
    <s v="Санкт-Петербург г. п. Шушары, Колпинское ш. 32, стр. 1"/>
    <s v="Hypermarket (Гипермаркет)"/>
    <s v="Modern Trade"/>
    <s v="Scantrack"/>
    <n v="95183.65"/>
    <n v="7931.97"/>
    <n v="95183.650000000009"/>
    <m/>
    <m/>
    <m/>
    <m/>
    <m/>
    <m/>
    <m/>
    <m/>
    <m/>
    <m/>
    <m/>
    <s v="Нет"/>
    <n v="0"/>
    <m/>
    <n v="720"/>
    <m/>
    <m/>
    <m/>
    <m/>
    <m/>
    <m/>
    <m/>
    <m/>
    <s v="новая лента, продажи октября 333798,93"/>
    <m/>
    <x v="0"/>
  </r>
  <r>
    <s v="1000000000072259"/>
    <m/>
    <s v="Северо-Запад"/>
    <s v="Санкт-Петербург"/>
    <s v="Лента"/>
    <s v="Санкт-Петербург г. Коллонтай ул д.10"/>
    <s v="Hypermarket (Гипермаркет)"/>
    <m/>
    <m/>
    <n v="60431.38"/>
    <n v="20143.79"/>
    <n v="60431.380000000019"/>
    <m/>
    <m/>
    <m/>
    <m/>
    <m/>
    <m/>
    <m/>
    <m/>
    <m/>
    <m/>
    <m/>
    <m/>
    <n v="0"/>
    <m/>
    <n v="360"/>
    <m/>
    <m/>
    <m/>
    <m/>
    <m/>
    <m/>
    <m/>
    <m/>
    <s v="новая лента, продажи октября 197312,12"/>
    <m/>
    <x v="0"/>
  </r>
  <r>
    <s v="1000000000072260"/>
    <m/>
    <s v="Северо-Запад"/>
    <s v="Санкт-Петербург"/>
    <s v="Лента"/>
    <s v="Санкт-Петербург г. п. Шушары, Колпинское ш. 32, стр. 1"/>
    <s v="Hypermarket (Гипермаркет)"/>
    <m/>
    <m/>
    <n v="95183.65"/>
    <n v="31727.88"/>
    <n v="95183.650000000009"/>
    <m/>
    <m/>
    <m/>
    <m/>
    <m/>
    <m/>
    <m/>
    <m/>
    <m/>
    <m/>
    <m/>
    <m/>
    <n v="0"/>
    <m/>
    <n v="720"/>
    <m/>
    <m/>
    <m/>
    <m/>
    <m/>
    <m/>
    <m/>
    <m/>
    <s v="новая лента, продажи октября 333798,93"/>
    <m/>
    <x v="0"/>
  </r>
  <r>
    <s v="1000000000050430"/>
    <m/>
    <m/>
    <m/>
    <s v="SWE код не найден"/>
    <s v="SWE код не найден"/>
    <s v="SWE код не найден"/>
    <s v="SWE код не найден"/>
    <s v="SWE код не найден"/>
    <m/>
    <m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m/>
    <n v="180"/>
    <n v="0"/>
    <s v="удалить ТТ"/>
    <m/>
    <m/>
    <m/>
    <m/>
    <m/>
    <m/>
    <m/>
    <s v="удалить тайминг"/>
    <m/>
    <x v="1"/>
  </r>
  <r>
    <s v="1000000000014772"/>
    <m/>
    <m/>
    <m/>
    <s v="SWE код не найден"/>
    <s v="SWE код не найден"/>
    <s v="SWE код не найден"/>
    <s v="SWE код не найден"/>
    <s v="SWE код не найден"/>
    <m/>
    <m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m/>
    <n v="180"/>
    <n v="0"/>
    <s v="удалить ТТ"/>
    <m/>
    <m/>
    <m/>
    <m/>
    <m/>
    <m/>
    <m/>
    <s v="удалить тайминг"/>
    <m/>
    <x v="1"/>
  </r>
  <r>
    <s v="1000000000014021"/>
    <m/>
    <m/>
    <m/>
    <s v="SWE код не найден"/>
    <s v="SWE код не найден"/>
    <s v="SWE код не найден"/>
    <s v="SWE код не найден"/>
    <s v="SWE код не найден"/>
    <m/>
    <m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m/>
    <n v="360"/>
    <n v="0"/>
    <s v="удалить ТТ"/>
    <m/>
    <m/>
    <m/>
    <m/>
    <m/>
    <m/>
    <m/>
    <s v="удалить тайминг"/>
    <m/>
    <x v="1"/>
  </r>
  <r>
    <s v="1000000000014083"/>
    <m/>
    <m/>
    <m/>
    <s v="SWE код не найден"/>
    <s v="SWE код не найден"/>
    <s v="SWE код не найден"/>
    <s v="SWE код не найден"/>
    <s v="SWE код не найден"/>
    <m/>
    <m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m/>
    <n v="60"/>
    <n v="0"/>
    <s v="удалить ТТ"/>
    <m/>
    <m/>
    <m/>
    <m/>
    <m/>
    <m/>
    <m/>
    <s v="удалить тайминг"/>
    <m/>
    <x v="1"/>
  </r>
  <r>
    <s v="1000000000013764"/>
    <m/>
    <m/>
    <m/>
    <s v="SWE код не найден"/>
    <s v="SWE код не найден"/>
    <s v="SWE код не найден"/>
    <s v="SWE код не найден"/>
    <s v="SWE код не найден"/>
    <m/>
    <m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m/>
    <n v="180"/>
    <n v="0"/>
    <s v="удалить ТТ"/>
    <m/>
    <m/>
    <m/>
    <m/>
    <m/>
    <m/>
    <m/>
    <s v="удалить тайминг"/>
    <m/>
    <x v="1"/>
  </r>
  <r>
    <s v="1000000000019164"/>
    <m/>
    <m/>
    <m/>
    <s v="SWE код не найден"/>
    <s v="SWE код не найден"/>
    <s v="SWE код не найден"/>
    <s v="SWE код не найден"/>
    <s v="SWE код не найден"/>
    <m/>
    <m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s v="SWE код не найден"/>
    <m/>
    <n v="360"/>
    <m/>
    <s v="изменить тайминг"/>
    <m/>
    <m/>
    <m/>
    <m/>
    <m/>
    <m/>
    <m/>
    <s v="добавить тайминг из удаленных точек "/>
    <m/>
    <x v="0"/>
  </r>
  <r>
    <s v="1000000000072208"/>
    <m/>
    <s v="Волга-Юг"/>
    <s v="Ставрополь"/>
    <s v="Х5 Экспресс Ритейл"/>
    <s v="г.Ставрополь, Доваторцев ул, 61"/>
    <s v="Supermarket (Супермаркет)"/>
    <s v="Modern Trade"/>
    <s v="Scantrack"/>
    <n v="8291.4"/>
    <n v="690.95"/>
    <n v="8291.4000000000015"/>
    <m/>
    <m/>
    <m/>
    <m/>
    <m/>
    <m/>
    <m/>
    <m/>
    <m/>
    <m/>
    <m/>
    <s v="Нет"/>
    <n v="0"/>
    <m/>
    <n v="60"/>
    <s v="добавить ТТ"/>
    <n v="60"/>
    <m/>
    <m/>
    <m/>
    <m/>
    <m/>
    <m/>
    <n v="1"/>
    <m/>
    <x v="2"/>
  </r>
  <r>
    <s v="1000000000056698"/>
    <m/>
    <s v="Волга-Юг"/>
    <s v="Михайловск"/>
    <s v="Тандер"/>
    <s v="356245, Ставропольский край, Шпаковский р-н, Михайловск г, Гоголя ул, дом № 26/8"/>
    <s v="Drogery (Хоз. магазин)"/>
    <s v="Modern Trade"/>
    <s v="Scantrack"/>
    <n v="37592.660000000003"/>
    <n v="25061.77"/>
    <n v="22026.139999999996"/>
    <m/>
    <n v="51242.080000000002"/>
    <n v="22642.49"/>
    <m/>
    <n v="34877.25"/>
    <m/>
    <n v="24186.540000000005"/>
    <n v="67604"/>
    <m/>
    <n v="32980.820000000007"/>
    <n v="45181.949999999983"/>
    <s v="Нет"/>
    <n v="0"/>
    <m/>
    <n v="60"/>
    <s v="добавить ТТ"/>
    <n v="60"/>
    <m/>
    <m/>
    <m/>
    <m/>
    <m/>
    <m/>
    <s v="центральная улица, нужна еженедельная работа"/>
    <m/>
    <x v="2"/>
  </r>
  <r>
    <s v="1024902225"/>
    <m/>
    <s v="Волга-Юг"/>
    <s v="Ставрополь"/>
    <s v="Золушка - Пятигорск"/>
    <s v="РФ,Северная Осетия - Алания Респ,Владикавказ г,Куйбышева ул,21,"/>
    <s v="Drogery (Хоз. магазин)"/>
    <s v="Distributors"/>
    <s v="Other"/>
    <n v="69826.490000000005"/>
    <n v="69826.490000000005"/>
    <n v="68878.638000000006"/>
    <n v="66481.799999999988"/>
    <n v="85006.19200000001"/>
    <n v="50369.303"/>
    <n v="40609.245999999999"/>
    <n v="11781.174999999999"/>
    <n v="71824.735000000015"/>
    <n v="90399.563999999998"/>
    <n v="80294.99099999998"/>
    <n v="87366.763000000006"/>
    <n v="97551.86099999999"/>
    <n v="87353.567999999999"/>
    <s v="Нет"/>
    <n v="120"/>
    <n v="120"/>
    <n v="0"/>
    <s v="удалить ТТ"/>
    <m/>
    <m/>
    <m/>
    <m/>
    <m/>
    <m/>
    <m/>
    <s v="посещается всего 1 магазин на удалённой территории, трудности с контролем"/>
    <m/>
    <x v="2"/>
  </r>
  <r>
    <s v="1000000000059064"/>
    <n v="360094"/>
    <s v="Урал"/>
    <s v="Пермь"/>
    <s v="Х5 Экспресс Ритейл"/>
    <s v="г.Пермь, Уральская ул, 85"/>
    <s v="Supermarket (Супермаркет)"/>
    <s v="Modern Trade"/>
    <s v="Scantrack"/>
    <n v="71547.199999999997"/>
    <n v="47698.13"/>
    <n v="36987.22"/>
    <m/>
    <n v="107538.49000000005"/>
    <n v="45623.36000000003"/>
    <m/>
    <n v="92843.898000000001"/>
    <m/>
    <n v="54844.47800000001"/>
    <n v="104628.16999999995"/>
    <m/>
    <n v="70218.388000000006"/>
    <n v="59693.58600000001"/>
    <s v="Нет"/>
    <n v="0"/>
    <n v="60"/>
    <n v="120"/>
    <s v="изменить тайминг"/>
    <m/>
    <n v="120"/>
    <m/>
    <m/>
    <m/>
    <m/>
    <m/>
    <s v="Регулярно не хватает времени на работу с полкой и заполнение отчетов, постоянные переработки "/>
    <m/>
    <x v="3"/>
  </r>
  <r>
    <s v="1000000000030693"/>
    <n v="26211"/>
    <s v="Урал"/>
    <s v="Пермь"/>
    <s v="Тандер"/>
    <s v="614070, Пермский край, Пермь г, Крупской ул, дом № 61"/>
    <s v="Drogery (Хоз. магазин)"/>
    <s v="Modern Trade"/>
    <s v="Scantrack"/>
    <n v="66720.679999999993"/>
    <n v="44480.45"/>
    <n v="34997.460000000006"/>
    <m/>
    <n v="81066.910000000033"/>
    <n v="44060.390000000014"/>
    <m/>
    <n v="63294.85"/>
    <m/>
    <n v="59057.750000000022"/>
    <n v="119106.13"/>
    <m/>
    <n v="58430.819999999992"/>
    <n v="73751.099999999991"/>
    <s v="Нет"/>
    <n v="0"/>
    <n v="60"/>
    <n v="60"/>
    <s v="изменить тайминг"/>
    <n v="60"/>
    <m/>
    <m/>
    <m/>
    <m/>
    <m/>
    <m/>
    <s v="Сейчас 30 минут в неделю, посещение 60 мин 1 раз в 2 недели. Отчет OSA не попадает в посещение мерчендайзера, причем отчетная неделя меняется от месяца к месяцу, регулярно менять график нет возможности."/>
    <m/>
    <x v="3"/>
  </r>
  <r>
    <n v="1023901719"/>
    <m/>
    <s v="Беларусь"/>
    <s v="Минск"/>
    <s v="Корона"/>
    <s v="г.Минск, пр.Независимости, 154"/>
    <s v="Hypermarket (Гипермаркет)"/>
    <s v="Distributors"/>
    <s v="Other"/>
    <n v="195080.48"/>
    <n v="195080.48"/>
    <n v="212761.31099999996"/>
    <n v="212411.49299999999"/>
    <n v="136792.73800000004"/>
    <n v="184427.56599999999"/>
    <n v="119485.47999999998"/>
    <n v="196788.74099999998"/>
    <n v="227336.11599999995"/>
    <n v="199451.08499999999"/>
    <n v="163014.43400000001"/>
    <n v="275178.13099999994"/>
    <n v="217773.57799999998"/>
    <n v="195545.06300000002"/>
    <s v="Нет"/>
    <n v="360"/>
    <n v="240"/>
    <n v="180"/>
    <s v="изменить тайминг"/>
    <m/>
    <m/>
    <m/>
    <m/>
    <m/>
    <m/>
    <m/>
    <s v="Достаточно этого времени для отработки ТО"/>
    <m/>
    <x v="4"/>
  </r>
  <r>
    <n v="1023902165"/>
    <m/>
    <s v="Беларусь"/>
    <s v="Минск"/>
    <s v="Гринн"/>
    <s v="220114, г. Минск, ул. Петра Мстиславца, 11"/>
    <s v="Hypermarket (Гипермаркет)"/>
    <s v="Distributors"/>
    <s v="Other"/>
    <n v="195326.93"/>
    <n v="195326.93"/>
    <n v="115158.913"/>
    <n v="122450.186"/>
    <n v="23506.355000000003"/>
    <n v="244155.96099999998"/>
    <n v="195069.02600000004"/>
    <n v="181059.47599999997"/>
    <n v="188500.99100000001"/>
    <n v="294123.63099999999"/>
    <n v="214258.49600000001"/>
    <n v="169001.16099999996"/>
    <n v="445284.53500000003"/>
    <n v="151354.42600000001"/>
    <s v="Нет"/>
    <n v="360"/>
    <n v="360"/>
    <n v="420"/>
    <s v="изменить тайминг"/>
    <m/>
    <m/>
    <m/>
    <m/>
    <m/>
    <m/>
    <m/>
    <s v="ТО требует этого времени посещения, так как есть трудности с доступом на склад"/>
    <m/>
    <x v="4"/>
  </r>
  <r>
    <n v="1023901712"/>
    <m/>
    <s v="Беларусь"/>
    <s v="Борисов"/>
    <s v="Корона"/>
    <s v="Минская обл., г.Борисов, ул. III Интернационала, 5"/>
    <s v="Hypermarket (Гипермаркет)"/>
    <s v="Distributors"/>
    <s v="Other"/>
    <n v="71482.789999999994"/>
    <n v="71482.789999999994"/>
    <n v="105260.57999999999"/>
    <n v="67766.22100000002"/>
    <n v="31230.48799999999"/>
    <n v="35758.51"/>
    <n v="3158.0729999999999"/>
    <n v="84179.614999999991"/>
    <n v="52822.651000000013"/>
    <n v="99133.378000000012"/>
    <n v="97691.659"/>
    <n v="158309.43800000002"/>
    <n v="-35445.992000000006"/>
    <n v="157928.867"/>
    <s v="Нет"/>
    <n v="180"/>
    <n v="120"/>
    <n v="90"/>
    <s v="изменить тайминг"/>
    <m/>
    <m/>
    <m/>
    <m/>
    <m/>
    <m/>
    <m/>
    <s v="Достаточно этого времени для отработки ТО"/>
    <m/>
    <x v="4"/>
  </r>
  <r>
    <n v="1022708151"/>
    <m/>
    <s v="Беларусь"/>
    <s v="Бобруйск"/>
    <s v="Остров Чистоты"/>
    <s v="г. Бобруйск, ул. Социалистическая, Дом 40  магазин &quot;Остров чистоты&quot;."/>
    <s v="Drogery (Хоз. магазин)"/>
    <s v="Distributors"/>
    <s v="Other"/>
    <m/>
    <m/>
    <m/>
    <m/>
    <m/>
    <m/>
    <m/>
    <m/>
    <m/>
    <m/>
    <m/>
    <m/>
    <m/>
    <m/>
    <s v="Нет"/>
    <m/>
    <n v="60"/>
    <n v="30"/>
    <s v="изменить тайминг"/>
    <m/>
    <m/>
    <m/>
    <m/>
    <m/>
    <m/>
    <m/>
    <s v="Отгрузка с РЦ"/>
    <m/>
    <x v="4"/>
  </r>
  <r>
    <n v="1023901227"/>
    <m/>
    <s v="Беларусь"/>
    <s v="Бобруйск"/>
    <s v="Мила"/>
    <s v="Могилевская область, г. Бобруйск, ул. Минская, 105"/>
    <s v="Drogery (Хоз. магазин)"/>
    <s v="Distributors"/>
    <s v="Other"/>
    <n v="22872.37"/>
    <n v="22872.37"/>
    <n v="29522.804"/>
    <n v="21389.063000000002"/>
    <n v="20370.796000000002"/>
    <n v="16329.26"/>
    <n v="19696.315999999999"/>
    <n v="27092.092000000001"/>
    <n v="22145.016000000003"/>
    <n v="21931.193000000003"/>
    <n v="15999.115"/>
    <n v="22726.843999999997"/>
    <n v="21340.698"/>
    <n v="35925.241999999998"/>
    <s v="Нет"/>
    <n v="0"/>
    <n v="30"/>
    <n v="0"/>
    <s v="удалить ТТ"/>
    <m/>
    <m/>
    <m/>
    <m/>
    <m/>
    <m/>
    <m/>
    <m/>
    <m/>
    <x v="4"/>
  </r>
  <r>
    <n v="1023901954"/>
    <m/>
    <s v="Беларусь"/>
    <s v="Бобруйск"/>
    <s v="Мила"/>
    <s v="Могилевская обл., г. Бобруйск, ул.Горького, 36  ТЦ &quot;Корона&quot;"/>
    <s v="Drogery (Хоз. магазин)"/>
    <s v="Distributors"/>
    <s v="Other"/>
    <n v="35413.870000000003"/>
    <n v="35413.870000000003"/>
    <n v="33368.503000000004"/>
    <n v="19610.79"/>
    <n v="50199.09599999999"/>
    <n v="35512.625999999997"/>
    <n v="26813.604999999996"/>
    <n v="38361.534000000007"/>
    <n v="36584.785000000003"/>
    <n v="43048.221999999994"/>
    <n v="28504.320999999996"/>
    <n v="31447.911"/>
    <n v="39461.807999999997"/>
    <n v="42053.221999999994"/>
    <s v="Нет"/>
    <n v="0"/>
    <n v="30"/>
    <n v="0"/>
    <s v="удалить ТТ"/>
    <m/>
    <m/>
    <m/>
    <m/>
    <m/>
    <m/>
    <m/>
    <m/>
    <m/>
    <x v="4"/>
  </r>
  <r>
    <n v="1022701096"/>
    <m/>
    <s v="Беларусь"/>
    <s v="Солигорск"/>
    <s v="Солстройкомплект - Солигорск"/>
    <s v="г. Солигорск, ул. Заслонова, Дом 59  магазин &quot;Строймаркет&quot;."/>
    <s v="Drogery (Хоз. магазин)"/>
    <s v="Distributors"/>
    <s v="Other"/>
    <n v="159827.01999999999"/>
    <n v="79913.509999999995"/>
    <n v="-730.28"/>
    <m/>
    <m/>
    <m/>
    <m/>
    <m/>
    <m/>
    <n v="257306.42600000006"/>
    <n v="109448.54200000002"/>
    <n v="247358.408"/>
    <n v="179189.628"/>
    <n v="166389.42300000001"/>
    <s v="Нет"/>
    <n v="120"/>
    <n v="60"/>
    <n v="30"/>
    <s v="изменить тайминг"/>
    <m/>
    <m/>
    <m/>
    <m/>
    <m/>
    <m/>
    <m/>
    <s v="Достаточно для отработки ТО"/>
    <m/>
    <x v="4"/>
  </r>
  <r>
    <n v="1023901717"/>
    <m/>
    <s v="Беларусь"/>
    <s v="Солигорск"/>
    <s v="Корона"/>
    <s v="Минская обл., г.Солигорск, ул. К. Заслонова, 29"/>
    <s v="Hypermarket (Гипермаркет)"/>
    <s v="Distributors"/>
    <s v="Other"/>
    <n v="106307.72"/>
    <n v="106307.72"/>
    <n v="137627.356"/>
    <n v="117127.717"/>
    <n v="99190.57"/>
    <n v="89004.462999999989"/>
    <n v="60207.620999999992"/>
    <n v="32916.273000000008"/>
    <n v="57300.758000000002"/>
    <n v="157857.99300000002"/>
    <n v="166858.274"/>
    <n v="125995.42"/>
    <n v="96575.703000000009"/>
    <n v="135030.435"/>
    <s v="Нет"/>
    <n v="180"/>
    <n v="180"/>
    <n v="210"/>
    <s v="изменить тайминг"/>
    <m/>
    <m/>
    <m/>
    <m/>
    <m/>
    <m/>
    <m/>
    <s v="МР не успевает отрабатывать ТО"/>
    <m/>
    <x v="4"/>
  </r>
  <r>
    <n v="1023901722"/>
    <m/>
    <s v="Беларусь"/>
    <s v="Брест"/>
    <s v="Корона"/>
    <s v="Брестская обл., г.Брест, ул. Московская, 210"/>
    <s v="Hypermarket (Гипермаркет)"/>
    <s v="Distributors"/>
    <s v="Other"/>
    <n v="141279.32999999999"/>
    <n v="141279.32999999999"/>
    <n v="117631.19599999994"/>
    <n v="122312.598"/>
    <n v="114364.98599999996"/>
    <n v="114902.18400000001"/>
    <n v="38977.633000000023"/>
    <n v="116011.451"/>
    <n v="91579.493000000002"/>
    <n v="362859.02399999998"/>
    <n v="185612.22099999999"/>
    <n v="161396.56799999994"/>
    <n v="75504.999000000011"/>
    <n v="194199.66399999999"/>
    <s v="Нет"/>
    <n v="360"/>
    <n v="240"/>
    <n v="180"/>
    <s v="изменить тайминг"/>
    <m/>
    <m/>
    <m/>
    <m/>
    <m/>
    <m/>
    <m/>
    <s v="Достаточно для отработки ТО"/>
    <m/>
    <x v="4"/>
  </r>
  <r>
    <m/>
    <m/>
    <m/>
    <m/>
    <m/>
    <m/>
    <m/>
    <m/>
    <m/>
    <m/>
    <m/>
    <m/>
    <m/>
    <m/>
    <m/>
    <m/>
    <m/>
    <m/>
    <m/>
    <m/>
    <m/>
    <m/>
    <m/>
    <m/>
    <s v="Сумма таймингов:"/>
    <n v="1320"/>
    <n v="1140"/>
    <m/>
    <m/>
    <m/>
    <m/>
    <m/>
    <m/>
    <m/>
    <m/>
    <s v="тайминг перераспределен на новую ТО"/>
    <m/>
    <x v="0"/>
  </r>
  <r>
    <n v="28810"/>
    <n v="28810"/>
    <s v="Беларусь"/>
    <s v="Брест"/>
    <s v="Остров Чистоты"/>
    <s v="г. Брест, ул. МОПРа, д. 4,пом.17"/>
    <s v="Drogery (Хоз. магазин)"/>
    <m/>
    <m/>
    <n v="60000"/>
    <n v="60000"/>
    <n v="60000"/>
    <n v="60000"/>
    <n v="60000"/>
    <m/>
    <m/>
    <m/>
    <m/>
    <m/>
    <m/>
    <m/>
    <m/>
    <m/>
    <m/>
    <n v="60"/>
    <n v="60"/>
    <n v="120"/>
    <m/>
    <m/>
    <m/>
    <m/>
    <m/>
    <m/>
    <m/>
    <m/>
    <s v="ТО требует этого времени посещения"/>
    <m/>
    <x v="4"/>
  </r>
  <r>
    <m/>
    <m/>
    <m/>
    <m/>
    <m/>
    <m/>
    <m/>
    <m/>
    <m/>
    <m/>
    <m/>
    <m/>
    <m/>
    <m/>
    <m/>
    <m/>
    <m/>
    <m/>
    <m/>
    <m/>
    <m/>
    <m/>
    <m/>
    <m/>
    <s v="Сумма таймингов:"/>
    <n v="60"/>
    <n v="240"/>
    <m/>
    <m/>
    <m/>
    <m/>
    <m/>
    <m/>
    <m/>
    <m/>
    <m/>
    <m/>
    <x v="0"/>
  </r>
  <r>
    <s v="1000000000000299"/>
    <m/>
    <s v="Москва-Центр"/>
    <s v="Москва"/>
    <s v="Лента"/>
    <s v="ш.Энтузиастов, д.80"/>
    <s v="Hypermarket (Гипермаркет)"/>
    <s v="Modern Trade"/>
    <s v="Scantrack"/>
    <n v="622873.52"/>
    <n v="415249.02"/>
    <n v="470588.41"/>
    <m/>
    <n v="1006530.8600000002"/>
    <n v="510031.62999999977"/>
    <m/>
    <n v="532896.43999999994"/>
    <m/>
    <n v="449776.11"/>
    <n v="846502.15000000014"/>
    <m/>
    <n v="410985.15000000008"/>
    <n v="755677.44200000016"/>
    <s v="Нет"/>
    <n v="720"/>
    <n v="720"/>
    <n v="2400"/>
    <s v="добавить ТТ"/>
    <n v="8"/>
    <n v="8"/>
    <n v="8"/>
    <n v="8"/>
    <n v="8"/>
    <m/>
    <m/>
    <s v="Регулярное размещение,  выставление ДМП, высокая оборачиваемость продукта"/>
    <m/>
    <x v="5"/>
  </r>
  <r>
    <m/>
    <m/>
    <s v="Москва-Центр"/>
    <s v="Москва"/>
    <s v="Х5 Экспресс Ритейл"/>
    <s v="Москва, Щелковское шоссе 75 ТЦ Щелковский"/>
    <s v="Scantrack"/>
    <m/>
    <m/>
    <m/>
    <m/>
    <m/>
    <m/>
    <m/>
    <m/>
    <m/>
    <m/>
    <m/>
    <m/>
    <m/>
    <m/>
    <m/>
    <m/>
    <m/>
    <m/>
    <m/>
    <n v="180"/>
    <m/>
    <m/>
    <n v="2"/>
    <m/>
    <n v="1"/>
    <m/>
    <m/>
    <m/>
    <s v="Новая тт"/>
    <m/>
    <x v="5"/>
  </r>
  <r>
    <s v="1000000000027195"/>
    <n v="27067"/>
    <s v="Северо-Запад"/>
    <s v="Тверь"/>
    <s v="Тандер"/>
    <s v="171640, Тверская обл, Кашинский р-н, Кашин г, Карла Маркса ул, дом № 4"/>
    <s v="Drogery (Хоз. магазин)"/>
    <s v="Modern Trade"/>
    <s v="Scantrack"/>
    <n v="85525.17"/>
    <n v="57016.78"/>
    <n v="39210.890000000007"/>
    <m/>
    <n v="111810.58000000002"/>
    <n v="50658.980000000018"/>
    <m/>
    <n v="89968.82"/>
    <m/>
    <n v="64688.909999999989"/>
    <n v="159749.71"/>
    <m/>
    <n v="89919.359999999986"/>
    <n v="78194.14"/>
    <s v="Нет"/>
    <n v="60"/>
    <n v="60"/>
    <n v="0"/>
    <s v="удалить ТТ"/>
    <n v="60"/>
    <m/>
    <m/>
    <m/>
    <m/>
    <m/>
    <m/>
    <s v="отдалённая территория, нет возможности посещать"/>
    <m/>
    <x v="6"/>
  </r>
  <r>
    <s v="1000000000009277"/>
    <n v="27212"/>
    <s v="Северо-Запад"/>
    <s v="Тверь"/>
    <s v="Х5 Экспресс Ритейл"/>
    <s v="Тверь,Веселова ул.,25,"/>
    <s v="Superettes (Суперетта)"/>
    <s v="Modern Trade"/>
    <s v="Scantrack"/>
    <n v="31921.56"/>
    <n v="21281.040000000001"/>
    <n v="17043.580000000002"/>
    <m/>
    <n v="37091.72"/>
    <n v="19108.05"/>
    <m/>
    <n v="20390.97"/>
    <m/>
    <n v="31915.149999999994"/>
    <n v="44505.3"/>
    <m/>
    <n v="44361.850000000006"/>
    <n v="40955.86"/>
    <s v="Нет"/>
    <n v="0"/>
    <n v="30"/>
    <n v="0"/>
    <s v="удалить ТТ"/>
    <m/>
    <m/>
    <m/>
    <n v="30"/>
    <m/>
    <m/>
    <m/>
    <m/>
    <m/>
    <x v="6"/>
  </r>
  <r>
    <s v="1000000000008856"/>
    <n v="27216"/>
    <s v="Северо-Запад"/>
    <s v="Тверь"/>
    <s v="Х5 Экспресс Ритейл"/>
    <s v="Тверь, Победы пр-кт, 2А"/>
    <s v="Superettes (Суперетта)"/>
    <s v="Modern Trade"/>
    <s v="Scantrack"/>
    <n v="26290.07"/>
    <n v="17526.71"/>
    <n v="14185.729999999998"/>
    <m/>
    <n v="35668.22"/>
    <n v="11748.740000000003"/>
    <m/>
    <n v="11614.21"/>
    <m/>
    <n v="31522.769999999997"/>
    <n v="44479.88"/>
    <m/>
    <n v="25741.83"/>
    <n v="35359.15"/>
    <s v="Нет"/>
    <n v="0"/>
    <n v="30"/>
    <n v="0"/>
    <s v="удалить ТТ"/>
    <n v="30"/>
    <m/>
    <m/>
    <m/>
    <m/>
    <m/>
    <m/>
    <m/>
    <m/>
    <x v="6"/>
  </r>
  <r>
    <s v="1000000000009271"/>
    <n v="27217"/>
    <s v="Северо-Запад"/>
    <s v="Тверь"/>
    <s v="Х5 Экспресс Ритейл"/>
    <s v="Тверь,Двор Пролетарки ул.,7,"/>
    <s v="Superettes (Суперетта)"/>
    <s v="Modern Trade"/>
    <s v="Scantrack"/>
    <n v="24042.75"/>
    <n v="16028.5"/>
    <n v="16787.800000000003"/>
    <m/>
    <n v="30959.83"/>
    <n v="9956.8700000000026"/>
    <m/>
    <n v="9443.3000000000011"/>
    <m/>
    <n v="22462.09"/>
    <n v="41710.570000000007"/>
    <m/>
    <n v="25520.22"/>
    <n v="35501.350000000006"/>
    <s v="Нет"/>
    <n v="0"/>
    <n v="30"/>
    <n v="0"/>
    <s v="удалить ТТ"/>
    <m/>
    <m/>
    <n v="30"/>
    <m/>
    <m/>
    <m/>
    <m/>
    <m/>
    <m/>
    <x v="6"/>
  </r>
  <r>
    <s v="1000000000050446"/>
    <n v="26848"/>
    <s v="Северо-Запад"/>
    <s v="Тверь"/>
    <s v="Х5 Экспресс Ритейл"/>
    <s v="г.Тверь, Коминтерна ул., 20, стр.1"/>
    <s v="Hypermarket (Гипермаркет)"/>
    <s v="Modern Trade"/>
    <s v="Scantrack"/>
    <n v="407473.97"/>
    <n v="169780.82"/>
    <m/>
    <m/>
    <m/>
    <m/>
    <m/>
    <n v="574998.81599999988"/>
    <m/>
    <n v="227465.06199999998"/>
    <n v="371488.58800000011"/>
    <m/>
    <n v="372332.71599999984"/>
    <n v="491084.658"/>
    <s v="Нет"/>
    <n v="360"/>
    <m/>
    <n v="180"/>
    <s v="добавить ТТ"/>
    <m/>
    <n v="90"/>
    <m/>
    <m/>
    <n v="90"/>
    <m/>
    <m/>
    <s v="открылся перекрёсток вместо закрывшейся карусели"/>
    <m/>
    <x v="6"/>
  </r>
  <r>
    <s v="1000000000026435"/>
    <n v="344732"/>
    <s v="Северо-Запад"/>
    <s v="Тверь"/>
    <s v="Тандер"/>
    <s v="170028, Тверская обл, Тверь г, Победы пр-кт, дом № 59"/>
    <s v="Drogery (Хоз. магазин)"/>
    <s v="Modern Trade"/>
    <s v="Scantrack"/>
    <n v="55323.33"/>
    <n v="36882.22"/>
    <n v="32419.330000000005"/>
    <m/>
    <n v="64777.620000000024"/>
    <n v="37315.439999999995"/>
    <m/>
    <n v="62468.509999999995"/>
    <m/>
    <n v="43338.650000000009"/>
    <n v="82876.660000000018"/>
    <m/>
    <n v="57788.95"/>
    <n v="61601.449999999983"/>
    <s v="Нет"/>
    <n v="0"/>
    <m/>
    <n v="60"/>
    <s v="добавить ТТ"/>
    <m/>
    <m/>
    <m/>
    <n v="60"/>
    <m/>
    <m/>
    <m/>
    <s v="ротация"/>
    <m/>
    <x v="6"/>
  </r>
  <r>
    <s v="1000000000026779"/>
    <n v="344742"/>
    <s v="Северо-Запад"/>
    <s v="Тверь"/>
    <s v="Тандер"/>
    <s v="170027, Тверская обл, Тверь г, Дружинная ул, дом № 12,пом.1"/>
    <s v="Drogery (Хоз. магазин)"/>
    <s v="Modern Trade"/>
    <s v="Scantrack"/>
    <n v="51754.39"/>
    <n v="34502.93"/>
    <n v="33971.30000000001"/>
    <m/>
    <n v="62171.160000000018"/>
    <n v="36095.32"/>
    <m/>
    <n v="63902.200000000004"/>
    <m/>
    <n v="44246.149999999994"/>
    <n v="78864.300000000017"/>
    <m/>
    <n v="44657.090000000004"/>
    <n v="50127.61"/>
    <s v="Нет"/>
    <n v="0"/>
    <m/>
    <n v="60"/>
    <s v="добавить ТТ"/>
    <n v="60"/>
    <m/>
    <m/>
    <m/>
    <m/>
    <m/>
    <m/>
    <s v="ротация"/>
    <m/>
    <x v="6"/>
  </r>
  <r>
    <s v="1000000000051664"/>
    <n v="344785"/>
    <s v="Северо-Запад"/>
    <s v="Тверь"/>
    <s v="Х5 Экспресс Ритейл"/>
    <s v="Петербургское ш 82/2"/>
    <s v="Superettes (Суперетта)"/>
    <s v="Modern Trade"/>
    <s v="Scantrack"/>
    <n v="43192.41"/>
    <n v="28794.94"/>
    <n v="20297.650000000005"/>
    <m/>
    <n v="56646.770000000004"/>
    <n v="19625.86"/>
    <m/>
    <n v="28230.370000000003"/>
    <m/>
    <n v="36581.599999999999"/>
    <n v="88368.809999999983"/>
    <m/>
    <n v="36329.679999999993"/>
    <n v="59458.530000000006"/>
    <s v="Нет"/>
    <n v="0"/>
    <m/>
    <n v="30"/>
    <s v="добавить ТТ"/>
    <m/>
    <m/>
    <n v="30"/>
    <m/>
    <m/>
    <m/>
    <m/>
    <s v="ротация"/>
    <m/>
    <x v="6"/>
  </r>
  <r>
    <s v="1000000000034310"/>
    <n v="288802"/>
    <m/>
    <m/>
    <s v="Тандер"/>
    <s v="433510, Ульяновская обл, Димитровград г, Ленина пр-кт, дом № 39, корпус А"/>
    <s v="Drogery (Хоз. магазин)"/>
    <s v="Modern Trade"/>
    <s v="Scantrack"/>
    <n v="68559.69"/>
    <n v="45706.46"/>
    <n v="44811.270000000011"/>
    <m/>
    <n v="90618.260000000009"/>
    <n v="48481.97"/>
    <m/>
    <n v="55386.2"/>
    <m/>
    <n v="64903.939999999981"/>
    <n v="115748.36999999995"/>
    <m/>
    <n v="54502.380000000019"/>
    <n v="74025.149999999994"/>
    <s v="Нет"/>
    <n v="0"/>
    <n v="30"/>
    <n v="0"/>
    <s v="удалить ТТ"/>
    <m/>
    <m/>
    <m/>
    <m/>
    <m/>
    <m/>
    <m/>
    <m/>
    <m/>
    <x v="7"/>
  </r>
  <r>
    <s v="1000000000034745"/>
    <n v="288805"/>
    <m/>
    <m/>
    <s v="Тандер"/>
    <s v="433506, Ульяновская обл, Димитровград г, Ленина пр-кт, дом № 9"/>
    <s v="Drogery (Хоз. магазин)"/>
    <s v="Modern Trade"/>
    <s v="Scantrack"/>
    <n v="61825.64"/>
    <n v="41217.089999999997"/>
    <n v="41209.590000000018"/>
    <m/>
    <n v="86816.780000000013"/>
    <n v="40158.530000000021"/>
    <m/>
    <n v="57111.210000000006"/>
    <m/>
    <n v="52908.469999999987"/>
    <n v="101032.54"/>
    <m/>
    <n v="49230.280000000013"/>
    <n v="66137.699999999983"/>
    <s v="Нет"/>
    <n v="0"/>
    <n v="30"/>
    <n v="0"/>
    <s v="удалить ТТ"/>
    <m/>
    <m/>
    <m/>
    <m/>
    <m/>
    <m/>
    <m/>
    <m/>
    <m/>
    <x v="7"/>
  </r>
  <r>
    <s v="1023503162"/>
    <m/>
    <m/>
    <m/>
    <s v="Фортуна"/>
    <s v="Респ.Морд., г.Саранск, ул.Севастопольская, 7/1"/>
    <s v="Drogery (Хоз. магазин)"/>
    <s v="Distributors"/>
    <s v="Scantrack"/>
    <n v="44507.61"/>
    <n v="44507.61"/>
    <n v="133441.13200000001"/>
    <n v="90204.56200000002"/>
    <n v="36697.046999999991"/>
    <n v="24191.314000000002"/>
    <n v="29910.739999999998"/>
    <n v="29967.312999999998"/>
    <n v="39443.889000000003"/>
    <n v="34250.235000000001"/>
    <n v="32230.61"/>
    <n v="20725.233"/>
    <n v="34236.079000000005"/>
    <n v="28793.199000000001"/>
    <s v="Нет"/>
    <n v="0"/>
    <m/>
    <n v="60"/>
    <s v="добавить ТТ"/>
    <m/>
    <m/>
    <m/>
    <m/>
    <m/>
    <m/>
    <m/>
    <s v="Перенести тайминг из удаленных точек."/>
    <m/>
    <x v="7"/>
  </r>
  <r>
    <s v="1000000000030042"/>
    <m/>
    <s v="Урал"/>
    <s v="Нижний Тагил"/>
    <s v="Тандер"/>
    <s v="622005, Свердловская обл, Нижний Тагил г, Металлургов ул, дом № 50б"/>
    <s v="Drogery (Хоз. магазин)"/>
    <s v="Modern Trade"/>
    <s v="Scantrack"/>
    <n v="98959"/>
    <n v="65972.67"/>
    <n v="47868.09"/>
    <m/>
    <n v="139543.04999999996"/>
    <n v="59536.820000000014"/>
    <m/>
    <n v="109465.33"/>
    <m/>
    <n v="76985.539999999994"/>
    <n v="152431.06799999997"/>
    <m/>
    <n v="103540.19399999996"/>
    <n v="102301.916"/>
    <s v="Нет"/>
    <n v="60"/>
    <m/>
    <n v="60"/>
    <s v="добавить ТТ"/>
    <m/>
    <m/>
    <m/>
    <m/>
    <m/>
    <m/>
    <m/>
    <n v="1"/>
    <m/>
    <x v="8"/>
  </r>
  <r>
    <s v="1000000000031061"/>
    <m/>
    <s v="Урал"/>
    <s v="Екатеринбург"/>
    <s v="Тандер"/>
    <s v="620000, Свердловская обл, Екатеринбург г, Викулова ул, дом № 32б"/>
    <s v="Drogery (Хоз. магазин)"/>
    <s v="Modern Trade"/>
    <s v="Scantrack"/>
    <n v="101015.64"/>
    <n v="67343.759999999995"/>
    <n v="65985.260000000024"/>
    <m/>
    <n v="121321.42"/>
    <n v="71886.790000000037"/>
    <m/>
    <n v="101858.13999999998"/>
    <m/>
    <n v="86953.530000000028"/>
    <n v="152246.91999999998"/>
    <m/>
    <n v="92486.989999999976"/>
    <n v="115386.02999999997"/>
    <s v="Нет"/>
    <n v="120"/>
    <m/>
    <n v="120"/>
    <s v="добавить ТТ"/>
    <m/>
    <m/>
    <m/>
    <m/>
    <m/>
    <m/>
    <m/>
    <m/>
    <m/>
    <x v="8"/>
  </r>
  <r>
    <s v="1000000000051169"/>
    <m/>
    <s v="Урал"/>
    <s v="Пышма"/>
    <s v="Тандер"/>
    <s v="624090, Свердловская обл, Верхняя Пышма г, Юбилейная ул, дом № 8"/>
    <s v="Drogery (Хоз. магазин)"/>
    <s v="Modern Trade"/>
    <s v="Scantrack"/>
    <n v="102337.2"/>
    <n v="68224.800000000003"/>
    <n v="62073.43"/>
    <m/>
    <n v="130067.71000000008"/>
    <n v="72970.430000000022"/>
    <m/>
    <n v="109737.32999999997"/>
    <m/>
    <n v="83836.089999999924"/>
    <n v="133962.66999999998"/>
    <m/>
    <n v="105649.89599999998"/>
    <n v="120400.07"/>
    <s v="Нет"/>
    <n v="120"/>
    <n v="60"/>
    <n v="120"/>
    <s v="добавить ТТ"/>
    <m/>
    <m/>
    <m/>
    <m/>
    <m/>
    <m/>
    <m/>
    <m/>
    <m/>
    <x v="8"/>
  </r>
  <r>
    <s v="1000000000000474"/>
    <m/>
    <s v="Урал"/>
    <s v="Екатеринбург"/>
    <s v="Лента"/>
    <s v="Сибирский тракт 19"/>
    <s v="Hypermarket (Гипермаркет)"/>
    <s v="Modern Trade"/>
    <s v="Scantrack"/>
    <n v="735728.49"/>
    <n v="490485.66"/>
    <n v="535991.70000000007"/>
    <m/>
    <n v="1160878.2"/>
    <n v="579969.89"/>
    <m/>
    <n v="544606.66800000006"/>
    <m/>
    <n v="454617.47200000024"/>
    <n v="1379020.5800000005"/>
    <m/>
    <n v="623904.41400000022"/>
    <n v="606839.02599999984"/>
    <s v="Нет"/>
    <n v="720"/>
    <n v="720"/>
    <m/>
    <s v="изменить тайминг"/>
    <m/>
    <m/>
    <m/>
    <m/>
    <m/>
    <m/>
    <m/>
    <s v="прошу добавить 60 мин за счет закурытия Метро Нижний Тагил, т.к. не хватает времени для работы в точке, точка приближается к объему стационара"/>
    <m/>
    <x v="0"/>
  </r>
  <r>
    <s v="1000000000045543"/>
    <m/>
    <s v="Урал"/>
    <s v="Екатеринбург"/>
    <s v="Тандер"/>
    <s v="620016, Свердловская обл, Екатеринбург г, Вильгельма де Геннина ул, дом № 45"/>
    <s v="Drogery (Хоз. магазин)"/>
    <s v="Modern Trade"/>
    <s v="Scantrack"/>
    <n v="84323.86"/>
    <n v="56215.91"/>
    <n v="50105.039999999986"/>
    <m/>
    <n v="116342.04000000002"/>
    <n v="54367.630000000026"/>
    <m/>
    <n v="91191.12"/>
    <m/>
    <n v="68209.569999999992"/>
    <n v="130498.61000000002"/>
    <m/>
    <n v="73845.64"/>
    <n v="90031.24000000002"/>
    <s v="Нет"/>
    <n v="60"/>
    <m/>
    <n v="60"/>
    <s v="добавить ТТ"/>
    <m/>
    <m/>
    <m/>
    <m/>
    <m/>
    <m/>
    <m/>
    <m/>
    <m/>
    <x v="8"/>
  </r>
  <r>
    <s v="1000000000001766"/>
    <n v="9744"/>
    <s v="Волга-Юг"/>
    <s v="Кузнецк"/>
    <s v="Ашан"/>
    <s v="Саратовская обл., г. Балашов, ул. Энтузиастов, д.1"/>
    <s v="Supermarket (Супермаркет)"/>
    <s v="Modern Trade"/>
    <s v="Scantrack"/>
    <n v="220550.11"/>
    <n v="128654.23"/>
    <m/>
    <m/>
    <n v="414758.85399999993"/>
    <n v="119935.78300000002"/>
    <m/>
    <n v="145736.96200000006"/>
    <m/>
    <n v="100595.89499999999"/>
    <n v="220793.09900000005"/>
    <m/>
    <n v="259275.52400000003"/>
    <n v="282754.66500000004"/>
    <s v="Нет"/>
    <n v="360"/>
    <n v="720"/>
    <n v="0"/>
    <s v="удалить ТТ"/>
    <m/>
    <n v="360"/>
    <m/>
    <n v="360"/>
    <m/>
    <m/>
    <m/>
    <s v="Удалить из АП с 20.11.20. тт. закрыта ( в Кубе указан не коректный адрес верный адрес Кузнецк ул.Белинского 2А"/>
    <m/>
    <x v="9"/>
  </r>
  <r>
    <s v="1000000000000800"/>
    <n v="2769"/>
    <s v="Волга-Юг"/>
    <s v="Пенза"/>
    <s v="МЕТРО"/>
    <s v="Звездная ул, 1"/>
    <s v="Hypermarket (Гипермаркет)"/>
    <s v="Modern Trade"/>
    <s v="Other"/>
    <n v="254074.52"/>
    <n v="169383.01"/>
    <n v="120246.25999999994"/>
    <m/>
    <n v="187787.05000000005"/>
    <n v="155516.89999999997"/>
    <m/>
    <n v="192878.92999999993"/>
    <m/>
    <n v="293161.24"/>
    <n v="496428.23000000016"/>
    <m/>
    <n v="261018.76999999993"/>
    <n v="325558.74000000005"/>
    <s v="Нет"/>
    <n v="360"/>
    <n v="360"/>
    <m/>
    <s v="изменить тайминг"/>
    <m/>
    <n v="120"/>
    <m/>
    <n v="120"/>
    <m/>
    <m/>
    <m/>
    <s v="Добавить 240 мин. к действующему таймингу. Давление конкурентов"/>
    <m/>
    <x v="0"/>
  </r>
  <r>
    <s v="1023500010"/>
    <n v="2781"/>
    <s v="Москва-Центр"/>
    <s v="Пенза"/>
    <s v="Фортуна"/>
    <s v="Пенз.обл., г.Пенза, ул.Рахманинова, 2б"/>
    <s v="Drogery (Хоз. магазин)"/>
    <s v="Distributors"/>
    <s v="Scantrack"/>
    <n v="143439.76"/>
    <n v="143439.76"/>
    <n v="91256.84199999999"/>
    <n v="150810.27099999998"/>
    <n v="167649.91199999998"/>
    <n v="99695.65800000001"/>
    <n v="93918.764999999985"/>
    <n v="67771.714999999997"/>
    <n v="120049.25699999998"/>
    <n v="208434.86900000004"/>
    <n v="167781.62600000005"/>
    <n v="139673.71299999999"/>
    <n v="262172.55399999995"/>
    <n v="152061.96199999997"/>
    <s v="Нет"/>
    <n v="180"/>
    <n v="240"/>
    <n v="360"/>
    <s v="изменить тайминг"/>
    <m/>
    <n v="60"/>
    <m/>
    <n v="60"/>
    <m/>
    <m/>
    <m/>
    <s v="Добавить 120 мин. к действующему таймингу. Давление конкурентов"/>
    <m/>
    <x v="9"/>
  </r>
  <r>
    <s v="1023503137"/>
    <n v="2817"/>
    <s v="Волга-Юг"/>
    <s v="Пенза"/>
    <s v="Фортуна"/>
    <s v="Пенз.обл., г.Пенза, ул.Суворова, 144а"/>
    <s v="Drogery (Хоз. магазин)"/>
    <s v="Distributors"/>
    <s v="Scantrack"/>
    <n v="44197.15"/>
    <n v="44197.15"/>
    <n v="27049.743999999999"/>
    <n v="81081.631999999954"/>
    <n v="36583.896000000008"/>
    <n v="21124.841"/>
    <n v="27863.883000000002"/>
    <n v="27621.100999999995"/>
    <n v="37258.488000000005"/>
    <n v="55029.665999999997"/>
    <n v="60946.647999999994"/>
    <n v="31774.403999999999"/>
    <n v="84947.602999999974"/>
    <n v="39083.937999999995"/>
    <s v="Нет"/>
    <n v="0"/>
    <n v="30"/>
    <n v="180"/>
    <s v="изменить тайминг"/>
    <m/>
    <n v="60"/>
    <m/>
    <n v="90"/>
    <m/>
    <m/>
    <m/>
    <s v="Добавить 120 мин. к действующему таймингу. Давление конкурентов"/>
    <m/>
    <x v="9"/>
  </r>
  <r>
    <s v="1000000000006178"/>
    <n v="2820"/>
    <s v="Волга-Юг"/>
    <s v="Пенза"/>
    <s v="Х5 Экспресс Ритейл"/>
    <s v="Пенза,Суворова ул.,144,А"/>
    <s v="Supermarket (Супермаркет)"/>
    <s v="Modern Trade"/>
    <s v="Scantrack"/>
    <n v="56898.98"/>
    <n v="37932.660000000003"/>
    <n v="29998.630000000016"/>
    <m/>
    <n v="80157.328000000009"/>
    <n v="31488.079999999994"/>
    <m/>
    <n v="44933.432000000015"/>
    <m/>
    <n v="36880.387999999999"/>
    <n v="102081.77000000002"/>
    <m/>
    <n v="41268.15"/>
    <n v="88384.097999999998"/>
    <s v="Нет"/>
    <n v="0"/>
    <n v="30"/>
    <n v="120"/>
    <s v="изменить тайминг"/>
    <m/>
    <n v="60"/>
    <m/>
    <n v="30"/>
    <m/>
    <m/>
    <m/>
    <s v="Добавить 900 мин. к действующему таймингу. Давление конкурентов"/>
    <m/>
    <x v="9"/>
  </r>
  <r>
    <s v="1023500039"/>
    <n v="2775"/>
    <s v="Волга-Юг"/>
    <s v="Пенза"/>
    <s v="Фортуна"/>
    <s v=";;Пенз.обл., г.Пенза, ул.Калинина, 93, ТЦ &quot;Фортуна&quot;"/>
    <s v="Drogery (Хоз. магазин)"/>
    <s v="Distributors"/>
    <s v="Scantrack"/>
    <n v="242602.97"/>
    <n v="242602.97"/>
    <n v="187667.33499999996"/>
    <n v="223488.26400000002"/>
    <n v="254550.16899999999"/>
    <n v="166992.69500000001"/>
    <n v="149731.21599999996"/>
    <n v="162068.35100000005"/>
    <n v="168490.79700000002"/>
    <n v="450378.48300000001"/>
    <n v="239940.18800000002"/>
    <n v="297486.10600000003"/>
    <n v="376029.08799999981"/>
    <n v="234412.992"/>
    <s v="Нет"/>
    <n v="240"/>
    <n v="240"/>
    <m/>
    <m/>
    <m/>
    <m/>
    <n v="60"/>
    <m/>
    <n v="60"/>
    <m/>
    <m/>
    <s v="Добавить 120 мин. к действующему таймингу. Давление конкурентов"/>
    <m/>
    <x v="0"/>
  </r>
  <r>
    <s v="1026302999"/>
    <m/>
    <s v="Дальний Восток"/>
    <s v="Хабаровск"/>
    <s v="Самбери"/>
    <s v="679016, Еврейская Аобл, Биробиджан г, Шолом-Алейхема ул, дом № 72"/>
    <s v="Supermarket (Супермаркет)"/>
    <s v="Distributors"/>
    <s v="Scantrack"/>
    <n v="124609.8"/>
    <n v="51920.75"/>
    <n v="100687.836"/>
    <n v="341147.1320000001"/>
    <m/>
    <m/>
    <m/>
    <m/>
    <m/>
    <m/>
    <m/>
    <n v="11547.233999999999"/>
    <n v="87423.858000000007"/>
    <n v="82242.953999999998"/>
    <s v="Нет"/>
    <n v="0"/>
    <m/>
    <n v="180"/>
    <s v="изменить тайминг"/>
    <m/>
    <m/>
    <m/>
    <m/>
    <m/>
    <m/>
    <m/>
    <s v="добавить тайминг 120 мин с ТТ которые не удаление"/>
    <m/>
    <x v="10"/>
  </r>
  <r>
    <s v="1026302923"/>
    <m/>
    <s v="Дальний Восток"/>
    <s v="Хабаровск"/>
    <s v="Самбери"/>
    <s v="680000, Хабаровский край, Хабаровск г, Морозова Павла Леонтьевича ул, дом № 58, литер Ж"/>
    <s v="Supermarket (Супермаркет)"/>
    <s v="Distributors"/>
    <s v="Scantrack"/>
    <n v="47561.760000000002"/>
    <n v="47561.760000000002"/>
    <n v="44958.396000000008"/>
    <n v="29665.637999999999"/>
    <n v="32902.925999999992"/>
    <n v="26245.175999999999"/>
    <n v="39289.267"/>
    <n v="69347.015999999989"/>
    <n v="25366.644"/>
    <n v="70101.84"/>
    <n v="32535.960000000003"/>
    <n v="16172.76"/>
    <n v="84539.970000000016"/>
    <n v="99615.576000000015"/>
    <s v="Нет"/>
    <n v="0"/>
    <n v="30"/>
    <n v="180"/>
    <s v="изменить тайминг"/>
    <m/>
    <m/>
    <m/>
    <m/>
    <m/>
    <m/>
    <m/>
    <s v="добавить тайминг 150 мин с ТТ которые на удаление"/>
    <m/>
    <x v="10"/>
  </r>
  <r>
    <s v="1026303024"/>
    <m/>
    <s v="Дальний Восток"/>
    <s v="Хабаровск"/>
    <s v="Самбери"/>
    <s v="680006, Хабаровский край, Хабаровск г, Краснореченская ул, дом № 90, литер  3Т"/>
    <s v="Supermarket (Супермаркет)"/>
    <s v="Distributors"/>
    <s v="Scantrack"/>
    <n v="47982.3"/>
    <n v="47982.3"/>
    <n v="48685.104000000007"/>
    <n v="56563.116000000009"/>
    <n v="32078.268000000004"/>
    <n v="17251.397999999997"/>
    <n v="40528.541999999994"/>
    <n v="31161.233999999997"/>
    <n v="84230.784"/>
    <n v="73910.387999999992"/>
    <n v="49840.92"/>
    <n v="24950.802"/>
    <n v="37757.90600000001"/>
    <n v="78829.152000000002"/>
    <s v="Нет"/>
    <n v="0"/>
    <n v="30"/>
    <n v="180"/>
    <s v="изменить тайминг"/>
    <m/>
    <m/>
    <m/>
    <m/>
    <m/>
    <m/>
    <m/>
    <s v="добавить тайминг 150 мин с ТТ 1026302958"/>
    <m/>
    <x v="10"/>
  </r>
  <r>
    <s v="1026302960"/>
    <m/>
    <s v="Дальний Восток"/>
    <s v="Хабаровск"/>
    <s v="Самбери"/>
    <s v="680006, Хабаровский край, Хабаровск г, Краснореченская ул, дом № 92, литер И,И1,И2,И3,И4,И5,И6,И7"/>
    <s v="Supermarket (Супермаркет)"/>
    <s v="Distributors"/>
    <s v="Scantrack"/>
    <n v="69988.87"/>
    <n v="69988.87"/>
    <n v="36650.487000000001"/>
    <n v="73419.815999999992"/>
    <n v="75186.952999999994"/>
    <n v="42533.939999999995"/>
    <n v="64346.334000000003"/>
    <n v="109123.18799999999"/>
    <n v="33016.493999999999"/>
    <n v="86108.932000000015"/>
    <n v="75867.018000000011"/>
    <n v="48673.38"/>
    <n v="51484.727999999996"/>
    <n v="143455.20600000001"/>
    <s v="Нет"/>
    <n v="180"/>
    <n v="180"/>
    <n v="360"/>
    <s v="изменить тайминг"/>
    <m/>
    <m/>
    <m/>
    <m/>
    <m/>
    <m/>
    <m/>
    <s v="добавить тайминг 120 мин с ТТ которые на удаление. Итого на ТТ 300 мин"/>
    <m/>
    <x v="10"/>
  </r>
  <r>
    <n v="1024601487"/>
    <m/>
    <s v="Дальний Восток"/>
    <s v="Хабаровск"/>
    <s v="Любимый ДВ"/>
    <s v="680009, Хабаровский край, Хабаровск г, Карла Маркса ул, д. 114"/>
    <s v="Drogery (Хоз. магазин)"/>
    <s v="Distributors"/>
    <s v="Non Scantrack"/>
    <n v="22327.99"/>
    <n v="7442.66"/>
    <m/>
    <m/>
    <m/>
    <m/>
    <m/>
    <m/>
    <m/>
    <m/>
    <n v="11559.920999999998"/>
    <n v="22826.489999999994"/>
    <n v="32943.383000000002"/>
    <n v="21982.170000000002"/>
    <s v="Нет"/>
    <n v="0"/>
    <n v="30"/>
    <n v="0"/>
    <s v="удалить ТТ"/>
    <n v="30"/>
    <m/>
    <m/>
    <m/>
    <m/>
    <m/>
    <m/>
    <m/>
    <m/>
    <x v="10"/>
  </r>
  <r>
    <n v="1024602081"/>
    <m/>
    <s v="Дальний Восток"/>
    <s v="Хабаровск"/>
    <s v="Любимый ДВ"/>
    <s v="680030, Хабаровский край, Хабаровск г, Ленина ул, д. 49"/>
    <s v="Drogery (Хоз. магазин)"/>
    <s v="Distributors"/>
    <s v="Non Scantrack"/>
    <n v="23470.36"/>
    <n v="7823.45"/>
    <m/>
    <m/>
    <m/>
    <m/>
    <m/>
    <m/>
    <m/>
    <m/>
    <n v="8882.6099999999988"/>
    <n v="37506.453000000001"/>
    <n v="26630.017"/>
    <n v="20862.360999999997"/>
    <s v="Нет"/>
    <n v="0"/>
    <n v="30"/>
    <n v="0"/>
    <s v="удалить ТТ"/>
    <n v="30"/>
    <m/>
    <m/>
    <m/>
    <m/>
    <m/>
    <m/>
    <m/>
    <m/>
    <x v="10"/>
  </r>
  <r>
    <s v="1024602572        "/>
    <m/>
    <s v="Дальний Восток"/>
    <s v="Хабаровск"/>
    <s v="Любимый ДВ"/>
    <s v="676630, Амурская обл, Октябрьский р-н, Екатеринославка с, Ленина ул, д. 61"/>
    <s v="Drogery (Хоз. магазин)"/>
    <s v="Distributors"/>
    <s v="Non Scantrack"/>
    <n v="24099.54"/>
    <n v="8033.18"/>
    <m/>
    <m/>
    <m/>
    <m/>
    <m/>
    <m/>
    <m/>
    <m/>
    <n v="13352.084999999997"/>
    <n v="23881.745000000003"/>
    <n v="37579.025999999991"/>
    <n v="21585.300999999999"/>
    <s v="Нет"/>
    <n v="0"/>
    <m/>
    <n v="0"/>
    <s v="удалить ТТ"/>
    <n v="30"/>
    <m/>
    <m/>
    <m/>
    <m/>
    <m/>
    <m/>
    <m/>
    <m/>
    <x v="10"/>
  </r>
  <r>
    <s v="1024602843        "/>
    <m/>
    <s v="Дальний Восток"/>
    <s v="Хабаровск"/>
    <s v="Любимый ДВ"/>
    <s v="678900, Саха /Якутия/ Респ, Алдан г, Алданский у, Дзержинского ул, д. 19"/>
    <s v="Drogery (Хоз. магазин)"/>
    <s v="Distributors"/>
    <s v="Non Scantrack"/>
    <n v="9223.36"/>
    <n v="768.61"/>
    <m/>
    <m/>
    <m/>
    <m/>
    <m/>
    <m/>
    <m/>
    <m/>
    <m/>
    <m/>
    <m/>
    <n v="9223.3560000000016"/>
    <s v="Нет"/>
    <n v="0"/>
    <m/>
    <n v="0"/>
    <s v="удалить ТТ"/>
    <n v="30"/>
    <m/>
    <m/>
    <m/>
    <m/>
    <m/>
    <m/>
    <m/>
    <m/>
    <x v="10"/>
  </r>
  <r>
    <s v="1024600618        "/>
    <m/>
    <s v="Дальний Восток"/>
    <s v="Хабаровск"/>
    <s v="Любимый ДВ"/>
    <s v="676950, Амурская обл, Тамбовский р-н, Тамбовка с, 50 лет Октября ул, д. 21А"/>
    <s v="Drogery (Хоз. магазин)"/>
    <s v="Distributors"/>
    <s v="Non Scantrack"/>
    <n v="46348.6"/>
    <n v="15449.53"/>
    <m/>
    <m/>
    <m/>
    <m/>
    <m/>
    <m/>
    <m/>
    <m/>
    <n v="49091.582999999999"/>
    <n v="44762.380000000005"/>
    <n v="53311.539000000004"/>
    <n v="38228.879000000001"/>
    <s v="Нет"/>
    <n v="0"/>
    <m/>
    <n v="0"/>
    <s v="удалить ТТ"/>
    <n v="30"/>
    <m/>
    <m/>
    <m/>
    <m/>
    <m/>
    <m/>
    <m/>
    <m/>
    <x v="10"/>
  </r>
  <r>
    <s v="1024603379        "/>
    <m/>
    <s v="Дальний Восток"/>
    <s v="Комсомольск"/>
    <s v="Амбар"/>
    <s v="681000, Хабаровский край, Комсомольск-на-Амуре г, Победы пр-кт, д. 57"/>
    <s v="Superettes (Суперетта)"/>
    <s v="Distributors"/>
    <s v="Non Scantrack"/>
    <n v="22453.11"/>
    <n v="22453.11"/>
    <n v="16243.806"/>
    <n v="10107.959999999999"/>
    <n v="39228.75"/>
    <n v="20634.929"/>
    <n v="35411.429999999993"/>
    <n v="33425.277000000002"/>
    <n v="29329.843000000001"/>
    <n v="20140.013000000003"/>
    <n v="13262.982"/>
    <n v="22205.055"/>
    <n v="13831.857"/>
    <n v="15615.399000000001"/>
    <s v="Нет"/>
    <n v="0"/>
    <m/>
    <n v="0"/>
    <s v="удалить ТТ"/>
    <n v="30"/>
    <m/>
    <m/>
    <m/>
    <m/>
    <m/>
    <m/>
    <m/>
    <m/>
    <x v="10"/>
  </r>
  <r>
    <s v="1024603231        "/>
    <m/>
    <s v="Дальний Восток"/>
    <s v="Хабаровск"/>
    <s v="Амбар"/>
    <s v="680009, Хабаровский край, Хабаровск г, 60-летия Октября пр-кт, д. 210"/>
    <s v="Superettes (Суперетта)"/>
    <s v="Distributors"/>
    <s v="Non Scantrack"/>
    <n v="40495.550000000003"/>
    <n v="40495.550000000003"/>
    <n v="46309.141000000003"/>
    <n v="54309.022999999994"/>
    <n v="65607.787000000011"/>
    <n v="22594.601999999999"/>
    <n v="43537.835000000006"/>
    <n v="52435.542999999998"/>
    <n v="65899.416000000012"/>
    <n v="84110.326000000001"/>
    <n v="5068.152"/>
    <n v="16630.150000000001"/>
    <n v="12454.195000000002"/>
    <n v="16990.454999999998"/>
    <s v="Нет"/>
    <n v="0"/>
    <m/>
    <n v="0"/>
    <s v="удалить ТТ"/>
    <n v="30"/>
    <m/>
    <m/>
    <m/>
    <m/>
    <m/>
    <m/>
    <m/>
    <m/>
    <x v="10"/>
  </r>
  <r>
    <s v="1027800256        "/>
    <m/>
    <s v="Дальний Восток"/>
    <s v="Хабаровск"/>
    <s v="Десяточка ДВ"/>
    <s v="680052, Хабаровский край, Хабаровск г, Хабаровская ул, дом № 8"/>
    <s v="Superettes (Суперетта)"/>
    <s v="Distributors"/>
    <s v="Other"/>
    <n v="48208.84"/>
    <n v="48208.84"/>
    <n v="30775.08"/>
    <n v="40310.284"/>
    <n v="54931.258000000002"/>
    <n v="32584.378000000001"/>
    <n v="34332.896000000001"/>
    <n v="32921.611999999994"/>
    <n v="69931.062000000005"/>
    <n v="48434.054000000004"/>
    <n v="61536.964000000007"/>
    <n v="35144.478000000003"/>
    <n v="76457.630999999994"/>
    <n v="61146.421999999999"/>
    <s v="Нет"/>
    <n v="0"/>
    <m/>
    <n v="0"/>
    <s v="удалить ТТ"/>
    <n v="30"/>
    <m/>
    <m/>
    <m/>
    <m/>
    <m/>
    <m/>
    <m/>
    <m/>
    <x v="0"/>
  </r>
  <r>
    <s v="1027800310        "/>
    <m/>
    <s v="Дальний Восток"/>
    <s v="Хабаровск"/>
    <s v="Десяточка ДВ"/>
    <s v="680021, Хабаровский край, Хабаровск г, Серышева ул, дом № 74"/>
    <s v="Superettes (Суперетта)"/>
    <s v="Distributors"/>
    <s v="Other"/>
    <n v="45634.55"/>
    <n v="45634.55"/>
    <n v="28544.932000000001"/>
    <n v="37076.472000000002"/>
    <n v="31981.234"/>
    <n v="38814.952000000005"/>
    <n v="18599.558000000001"/>
    <n v="44701.178"/>
    <n v="51920.366000000002"/>
    <n v="47957.015999999996"/>
    <n v="65495.153999999995"/>
    <n v="50744.397999999994"/>
    <n v="73738.549999999988"/>
    <n v="58040.78"/>
    <s v="Нет"/>
    <n v="0"/>
    <m/>
    <n v="0"/>
    <s v="удалить ТТ"/>
    <n v="30"/>
    <m/>
    <m/>
    <m/>
    <m/>
    <m/>
    <m/>
    <m/>
    <m/>
    <x v="0"/>
  </r>
  <r>
    <s v="102740000000561            "/>
    <m/>
    <s v="Дальний Восток"/>
    <s v="Хабаровск"/>
    <s v="Реми"/>
    <s v="г. Хабаровск, ул. Волочаевская 8щ"/>
    <s v="Superettes (Суперетта)"/>
    <s v="Distributors"/>
    <s v="Non Scantrack"/>
    <m/>
    <m/>
    <m/>
    <m/>
    <m/>
    <m/>
    <m/>
    <m/>
    <m/>
    <m/>
    <m/>
    <m/>
    <m/>
    <m/>
    <s v="Нет"/>
    <m/>
    <m/>
    <n v="0"/>
    <s v="удалить ТТ"/>
    <n v="120"/>
    <m/>
    <m/>
    <m/>
    <m/>
    <m/>
    <m/>
    <m/>
    <m/>
    <x v="0"/>
  </r>
  <r>
    <s v="1026302958"/>
    <m/>
    <s v="Дальний Восток"/>
    <s v="Хабаровск"/>
    <s v="Самбери"/>
    <s v="680031, Хабаровский край, Хабаровск г, Окружная ул, дом № 13А, Лит  Б Б1 Б2 Б3"/>
    <s v="Supermarket (Супермаркет)"/>
    <s v="Distributors"/>
    <s v="Scantrack"/>
    <n v="87623.18"/>
    <n v="87623.18"/>
    <n v="46858.584000000003"/>
    <n v="55380.9"/>
    <n v="61104.119999999995"/>
    <n v="52963.422000000006"/>
    <n v="43553.838000000003"/>
    <n v="120085.09300000002"/>
    <n v="88185.096000000005"/>
    <n v="91499.555999999997"/>
    <n v="79381.167000000001"/>
    <n v="68542.218000000008"/>
    <n v="164643.81600000002"/>
    <n v="179280.31"/>
    <s v="Нет"/>
    <n v="180"/>
    <n v="360"/>
    <n v="240"/>
    <s v="изменить тайминг"/>
    <m/>
    <m/>
    <m/>
    <m/>
    <m/>
    <m/>
    <m/>
    <s v="оставить 210 мин"/>
    <m/>
    <x v="0"/>
  </r>
  <r>
    <s v="102630000004483"/>
    <m/>
    <s v="Дальний Восток"/>
    <s v="Хабаровск"/>
    <s v="Самбери"/>
    <s v="ул. Серышева 25"/>
    <s v="Supermarket (Супермаркет)"/>
    <m/>
    <m/>
    <m/>
    <m/>
    <m/>
    <m/>
    <m/>
    <m/>
    <m/>
    <m/>
    <m/>
    <m/>
    <m/>
    <m/>
    <m/>
    <m/>
    <m/>
    <m/>
    <m/>
    <n v="180"/>
    <s v="добавить ТТ"/>
    <m/>
    <m/>
    <m/>
    <m/>
    <m/>
    <m/>
    <m/>
    <s v="новая ТТ Сеть Самбери"/>
    <m/>
    <x v="10"/>
  </r>
  <r>
    <s v="1000000000058115"/>
    <m/>
    <s v="Урал"/>
    <s v="Екатеринбург"/>
    <s v="Х5 Экспресс Ритейл"/>
    <s v="г.Екатеринбург, Братская ул., 27к3"/>
    <s v="Supermarket (Супермаркет)"/>
    <s v="Modern Trade"/>
    <s v="Scantrack"/>
    <n v="33481.67"/>
    <n v="22321.11"/>
    <n v="17112.490000000002"/>
    <m/>
    <n v="54960.940000000017"/>
    <n v="26689.380000000008"/>
    <m/>
    <n v="39051.428"/>
    <m/>
    <n v="24136.400000000001"/>
    <n v="48344.079999999994"/>
    <m/>
    <n v="18738.170000000006"/>
    <n v="38820.49"/>
    <s v="Нет"/>
    <n v="0"/>
    <m/>
    <n v="60"/>
    <s v="добавить ТТ"/>
    <m/>
    <m/>
    <m/>
    <n v="60"/>
    <m/>
    <m/>
    <m/>
    <s v="т.т Nielsen, вместо 1000000000011584"/>
    <m/>
    <x v="11"/>
  </r>
  <r>
    <s v="1000000000010503"/>
    <m/>
    <s v="Урал"/>
    <s v="Екатеринбург"/>
    <s v="Х5 Экспресс Ритейл"/>
    <s v="Екатеринбург,Таганская ул.,52/1,"/>
    <s v="Superettes (Суперетта)"/>
    <s v="Modern Trade"/>
    <s v="Scantrack"/>
    <n v="33969.980000000003"/>
    <n v="22646.65"/>
    <n v="17608.189999999999"/>
    <m/>
    <n v="50996.37000000001"/>
    <n v="17959.789999999997"/>
    <m/>
    <n v="25950.009999999995"/>
    <m/>
    <n v="39001.31"/>
    <n v="43977.560000000005"/>
    <m/>
    <n v="40887.83"/>
    <n v="35378.75"/>
    <s v="Нет"/>
    <n v="0"/>
    <m/>
    <n v="60"/>
    <s v="добавить ТТ"/>
    <m/>
    <m/>
    <m/>
    <n v="60"/>
    <m/>
    <m/>
    <m/>
    <s v="т.т Nielsen, вместо 1000000000010217"/>
    <m/>
    <x v="11"/>
  </r>
  <r>
    <s v="1000000000010525"/>
    <m/>
    <s v="Урал"/>
    <s v="Екатеринбург"/>
    <s v="Х5 Экспресс Ритейл"/>
    <s v="Екатеринбург,Санаторная ул.,1,"/>
    <s v="Superettes (Суперетта)"/>
    <s v="Modern Trade"/>
    <s v="Scantrack"/>
    <n v="38398.699999999997"/>
    <n v="25599.13"/>
    <n v="19517.039999999997"/>
    <m/>
    <n v="49199.99"/>
    <n v="24378.83"/>
    <m/>
    <n v="23827.81"/>
    <m/>
    <n v="40094.689999999981"/>
    <n v="48733.109999999993"/>
    <m/>
    <n v="58061.249999999985"/>
    <n v="43376.87"/>
    <s v="Нет"/>
    <n v="0"/>
    <m/>
    <n v="60"/>
    <s v="добавить ТТ"/>
    <m/>
    <m/>
    <m/>
    <n v="60"/>
    <m/>
    <m/>
    <m/>
    <s v="т.т Nielsen, вместо 1000000000010217"/>
    <m/>
    <x v="11"/>
  </r>
  <r>
    <s v="1000000000049990"/>
    <m/>
    <s v="Урал"/>
    <s v="Екатеринбург"/>
    <s v="Х5 Экспресс Ритейл"/>
    <s v="620135, г.Екатеринбург, Фрезеровщиков ул, 5,"/>
    <s v="Superettes (Суперетта)"/>
    <s v="Modern Trade"/>
    <s v="Scantrack"/>
    <n v="38816.94"/>
    <n v="25877.96"/>
    <n v="33736.36"/>
    <m/>
    <n v="52779.239999999991"/>
    <n v="20091.899999999998"/>
    <m/>
    <n v="36073.4"/>
    <m/>
    <n v="30967.070000000003"/>
    <n v="54670.69"/>
    <m/>
    <n v="39567.719999999994"/>
    <n v="42649.159999999996"/>
    <s v="Нет"/>
    <n v="0"/>
    <m/>
    <n v="60"/>
    <s v="добавить ТТ"/>
    <m/>
    <m/>
    <m/>
    <n v="60"/>
    <m/>
    <m/>
    <m/>
    <s v="т.т Nielsen, вместо 1000000000010217"/>
    <m/>
    <x v="11"/>
  </r>
  <r>
    <s v="1000000000011471"/>
    <m/>
    <s v="Урал"/>
    <s v="Екатеринбург"/>
    <s v="Х5 Экспресс Ритейл"/>
    <s v="г.Екатеринбург,Челюскинцев ул,23"/>
    <s v="Superettes (Суперетта)"/>
    <s v="Modern Trade"/>
    <s v="Scantrack"/>
    <n v="38829.19"/>
    <n v="25886.13"/>
    <n v="20094.18"/>
    <m/>
    <n v="50173.74"/>
    <n v="22595.850000000002"/>
    <m/>
    <n v="24579.510000000002"/>
    <m/>
    <n v="45078.079999999987"/>
    <n v="59587.12999999999"/>
    <m/>
    <n v="35079.489999999991"/>
    <n v="53445.57"/>
    <s v="Нет"/>
    <n v="0"/>
    <m/>
    <n v="60"/>
    <s v="добавить ТТ"/>
    <m/>
    <m/>
    <m/>
    <n v="60"/>
    <m/>
    <m/>
    <m/>
    <s v="т.т Nielsen, вместо 1000000000010217"/>
    <m/>
    <x v="11"/>
  </r>
  <r>
    <s v="1000000000011497"/>
    <m/>
    <s v="Урал"/>
    <s v="Екатеринбург"/>
    <s v="Х5 Экспресс Ритейл"/>
    <s v="г.Екатеринбург,Шефская ул,85"/>
    <s v="Superettes (Суперетта)"/>
    <s v="Modern Trade"/>
    <s v="Scantrack"/>
    <n v="35871.35"/>
    <n v="23914.23"/>
    <n v="16948.73"/>
    <m/>
    <n v="41294.260000000009"/>
    <n v="23314.32"/>
    <m/>
    <n v="28782.32"/>
    <m/>
    <n v="32660.849999999991"/>
    <n v="51989.08"/>
    <m/>
    <n v="44332.88"/>
    <n v="47648.36"/>
    <s v="Нет"/>
    <n v="0"/>
    <m/>
    <n v="60"/>
    <s v="добавить ТТ"/>
    <m/>
    <m/>
    <m/>
    <n v="60"/>
    <m/>
    <m/>
    <m/>
    <s v="т.т Nielsen, вместо 1000000000010217"/>
    <m/>
    <x v="11"/>
  </r>
  <r>
    <s v="1000000000011584"/>
    <m/>
    <s v="Урал"/>
    <s v="Екатеринбург"/>
    <s v="Х5 Экспресс Ритейл"/>
    <s v="г.Екатеринбург, Бахчиванджи ул, 14"/>
    <s v="Superettes (Суперетта)"/>
    <s v="Modern Trade"/>
    <s v="Scantrack"/>
    <n v="46422.92"/>
    <n v="30948.61"/>
    <n v="21432.399999999994"/>
    <m/>
    <n v="48267.06"/>
    <n v="27873.619999999995"/>
    <m/>
    <n v="35476.099999999991"/>
    <m/>
    <n v="50489.03"/>
    <n v="66100.540000000008"/>
    <m/>
    <n v="54362.73"/>
    <n v="67381.87"/>
    <s v="Нет"/>
    <n v="0"/>
    <m/>
    <n v="60"/>
    <s v="удалить ТТ"/>
    <m/>
    <m/>
    <m/>
    <n v="60"/>
    <m/>
    <m/>
    <m/>
    <s v="т.т. очень удалена от основных маршрутов мерчендайзеров"/>
    <m/>
    <x v="11"/>
  </r>
  <r>
    <s v="1000000000001174"/>
    <n v="25898"/>
    <s v="Урал"/>
    <s v="Екатеринбург"/>
    <s v="ОКЕЙ"/>
    <s v="ул. Бабушкина, 2"/>
    <s v="Hypermarket (Гипермаркет)"/>
    <s v="Modern Trade"/>
    <s v="Scantrack"/>
    <n v="902332.96"/>
    <n v="601555.31000000006"/>
    <n v="497016.81599999993"/>
    <m/>
    <n v="1024602.8180000001"/>
    <n v="851074.32"/>
    <m/>
    <n v="751021.14399999962"/>
    <m/>
    <n v="1282420.6600000004"/>
    <n v="1059417.0459999999"/>
    <m/>
    <n v="1054343.9580000001"/>
    <n v="698766.946"/>
    <s v="Нет"/>
    <n v="2400"/>
    <n v="720"/>
    <n v="2400"/>
    <s v="изменить тайминг"/>
    <n v="480"/>
    <n v="480"/>
    <n v="480"/>
    <n v="480"/>
    <n v="480"/>
    <m/>
    <m/>
    <m/>
    <m/>
    <x v="11"/>
  </r>
  <r>
    <s v="1000000000033113"/>
    <n v="2656"/>
    <s v="Волга-Юг"/>
    <s v="Димитровград"/>
    <s v="Тандер"/>
    <s v="433508, Ульяновская обл, Димитровград г, Хмельницкого ул, дом № 100"/>
    <s v="Drogery (Хоз. магазин)"/>
    <s v="Modern Trade"/>
    <s v="Scantrack"/>
    <n v="97897.65"/>
    <n v="65265.1"/>
    <n v="43664.190000000024"/>
    <m/>
    <n v="150174.31"/>
    <n v="54167.990000000013"/>
    <m/>
    <n v="82712.999999999971"/>
    <m/>
    <n v="85304.420000000013"/>
    <n v="163056.46999999994"/>
    <m/>
    <n v="98863.089999999938"/>
    <n v="105237.69"/>
    <s v="Нет"/>
    <n v="60"/>
    <n v="120"/>
    <n v="0"/>
    <s v="удалить ТТ"/>
    <m/>
    <m/>
    <m/>
    <m/>
    <m/>
    <m/>
    <m/>
    <s v="удалить "/>
    <m/>
    <x v="12"/>
  </r>
  <r>
    <s v="1025201138"/>
    <n v="2657"/>
    <s v="Волга-Юг"/>
    <s v="Димитровград"/>
    <s v="Рубль Бум"/>
    <s v="г. Димитровград, ул. Московская, 60А"/>
    <s v="Drogery (Хоз. магазин)"/>
    <s v="Modern Trade"/>
    <s v="Other"/>
    <n v="39516.660000000003"/>
    <n v="39516.660000000003"/>
    <n v="22414.018"/>
    <n v="13175.03"/>
    <n v="31218.352999999999"/>
    <n v="29547.341999999997"/>
    <n v="15285.554"/>
    <n v="21492.985000000001"/>
    <n v="65497.943999999996"/>
    <n v="87033.637000000002"/>
    <n v="55784.580000000009"/>
    <n v="58487.251000000004"/>
    <n v="34690.044999999998"/>
    <n v="39573.145000000004"/>
    <s v="Нет"/>
    <n v="0"/>
    <n v="30"/>
    <n v="0"/>
    <s v="удалить ТТ"/>
    <m/>
    <m/>
    <m/>
    <m/>
    <m/>
    <m/>
    <m/>
    <s v="удалить "/>
    <m/>
    <x v="12"/>
  </r>
  <r>
    <s v="1025201226"/>
    <n v="2658"/>
    <s v="Волга-Юг"/>
    <s v="Димитровград"/>
    <s v="Рубль Бум"/>
    <s v="г. Димитровград, ул. Гагарина, 9"/>
    <s v="Drogery (Хоз. магазин)"/>
    <s v="Modern Trade"/>
    <s v="Other"/>
    <n v="50953.97"/>
    <n v="50953.97"/>
    <n v="35427.947"/>
    <n v="31924.475999999995"/>
    <n v="40372.542999999998"/>
    <n v="40977.481"/>
    <n v="22481.347000000002"/>
    <n v="17905.487999999998"/>
    <n v="48795.409"/>
    <n v="129760.71200000003"/>
    <n v="74524.831000000006"/>
    <n v="62392.714000000007"/>
    <n v="41683.864999999998"/>
    <n v="65200.780999999995"/>
    <s v="Нет"/>
    <n v="0"/>
    <n v="120"/>
    <n v="0"/>
    <s v="удалить ТТ"/>
    <m/>
    <m/>
    <m/>
    <m/>
    <m/>
    <m/>
    <m/>
    <s v="удалить "/>
    <m/>
    <x v="12"/>
  </r>
  <r>
    <s v="1000000000032348"/>
    <n v="288793"/>
    <s v="Волга-Юг"/>
    <s v="Димитровград"/>
    <s v="Тандер"/>
    <s v="433509, Ульяновская обл, Димитровград г, Алтайская ул, дом № 59"/>
    <s v="Drogery (Хоз. магазин)"/>
    <s v="Modern Trade"/>
    <s v="Scantrack"/>
    <n v="44159.11"/>
    <n v="29439.41"/>
    <n v="31731.640000000003"/>
    <m/>
    <n v="60986.770000000019"/>
    <n v="35166.580000000009"/>
    <m/>
    <n v="37633.32"/>
    <m/>
    <n v="35528.130000000019"/>
    <n v="79482.639999999985"/>
    <m/>
    <n v="31899.969999999998"/>
    <n v="40843.849999999991"/>
    <s v="Нет"/>
    <n v="0"/>
    <n v="30"/>
    <n v="0"/>
    <s v="удалить ТТ"/>
    <m/>
    <m/>
    <m/>
    <m/>
    <m/>
    <m/>
    <m/>
    <s v="удалить "/>
    <m/>
    <x v="12"/>
  </r>
  <r>
    <s v="1000000000032509"/>
    <n v="288794"/>
    <s v="Волга-Юг"/>
    <s v="Димитровград"/>
    <s v="Тандер"/>
    <s v="433000, Ульяновская обл, Димитровград г, Западная ул, дом № 13"/>
    <s v="Drogery (Хоз. магазин)"/>
    <s v="Modern Trade"/>
    <s v="Scantrack"/>
    <n v="61071.32"/>
    <n v="40714.21"/>
    <n v="34170.690000000024"/>
    <m/>
    <n v="90018.240000000005"/>
    <n v="31481.170000000016"/>
    <m/>
    <n v="57212.399999999994"/>
    <m/>
    <n v="43711.610000000008"/>
    <n v="109172.52000000002"/>
    <m/>
    <n v="55904.469999999972"/>
    <n v="66899.47"/>
    <s v="Нет"/>
    <n v="0"/>
    <n v="30"/>
    <n v="0"/>
    <s v="удалить ТТ"/>
    <m/>
    <m/>
    <m/>
    <m/>
    <m/>
    <m/>
    <m/>
    <s v="удалить "/>
    <m/>
    <x v="12"/>
  </r>
  <r>
    <s v="1000000000033027"/>
    <n v="288798"/>
    <s v="Волга-Юг"/>
    <s v="Димитровград"/>
    <s v="Тандер"/>
    <s v="433513, Ульяновская обл, Димитровград г, Победы ул, дом № 2А"/>
    <s v="Drogery (Хоз. магазин)"/>
    <s v="Modern Trade"/>
    <s v="Scantrack"/>
    <n v="41920.36"/>
    <n v="27946.91"/>
    <n v="23644.97"/>
    <m/>
    <n v="55693.050000000017"/>
    <n v="22261.220000000012"/>
    <m/>
    <n v="37902.06"/>
    <m/>
    <n v="39033.24"/>
    <n v="70971.399999999994"/>
    <m/>
    <n v="39771.960000000006"/>
    <n v="46085"/>
    <s v="Нет"/>
    <n v="0"/>
    <n v="30"/>
    <n v="0"/>
    <s v="удалить ТТ"/>
    <m/>
    <m/>
    <m/>
    <m/>
    <m/>
    <m/>
    <m/>
    <s v="удалить "/>
    <m/>
    <x v="12"/>
  </r>
  <r>
    <s v="1000000000046758"/>
    <n v="288807"/>
    <s v="Волга-Юг"/>
    <s v="Димитровград"/>
    <s v="Тандер"/>
    <s v="433504, Ульяновская обл, Димитровград г, Гвардейская ул, дом № 49а"/>
    <s v="Drogery (Хоз. магазин)"/>
    <s v="Modern Trade"/>
    <s v="Scantrack"/>
    <n v="58996.66"/>
    <n v="39331.1"/>
    <n v="38648.940000000024"/>
    <m/>
    <n v="63380.610000000015"/>
    <n v="43196.590000000026"/>
    <m/>
    <n v="55429.86"/>
    <m/>
    <n v="47637.330000000009"/>
    <n v="106389.22"/>
    <m/>
    <n v="52000.720000000016"/>
    <n v="65289.979999999996"/>
    <s v="Нет"/>
    <n v="0"/>
    <n v="30"/>
    <n v="0"/>
    <s v="удалить ТТ"/>
    <m/>
    <m/>
    <m/>
    <m/>
    <m/>
    <m/>
    <m/>
    <s v="удалить "/>
    <m/>
    <x v="12"/>
  </r>
  <r>
    <s v="1000000000034422"/>
    <n v="3005"/>
    <s v="Волга-Юг"/>
    <s v="Ульяновск"/>
    <s v="Тандер"/>
    <s v="432072, Ульяновская обл, Ульяновск г, Врача Сурова пр-кт, дом № 2, корпус А"/>
    <s v="Hypermarket (Гипермаркет)"/>
    <s v="Modern Trade"/>
    <s v="Scantrack"/>
    <n v="132835.56"/>
    <n v="88557.04"/>
    <n v="53030.310000000012"/>
    <m/>
    <n v="215036.73999999996"/>
    <n v="47752.960000000014"/>
    <m/>
    <n v="113759.42"/>
    <m/>
    <n v="101530.58999999995"/>
    <n v="224603.92999999985"/>
    <m/>
    <n v="130542.69999999997"/>
    <n v="176427.84999999998"/>
    <s v="Нет"/>
    <n v="180"/>
    <n v="180"/>
    <n v="240"/>
    <s v="изменить тайминг"/>
    <n v="60"/>
    <m/>
    <n v="120"/>
    <m/>
    <n v="60"/>
    <m/>
    <m/>
    <s v="увеличить тайминг до 240 мин.в неделю"/>
    <m/>
    <x v="12"/>
  </r>
  <r>
    <s v="1000000000034500"/>
    <n v="289251"/>
    <s v="Волга-Юг"/>
    <s v="Ульяновск"/>
    <s v="Тандер"/>
    <s v="432072, Ульяновская обл, Ульяновск г, Академика Филатова пр-кт, дом № 12а"/>
    <s v="Drogery (Хоз. магазин)"/>
    <s v="Modern Trade"/>
    <s v="Scantrack"/>
    <n v="79551.789999999994"/>
    <n v="53034.53"/>
    <n v="45219.250000000007"/>
    <m/>
    <n v="101280.79000000004"/>
    <n v="49174.54"/>
    <m/>
    <n v="65542.23"/>
    <m/>
    <n v="68365.89999999998"/>
    <n v="160097.52999999997"/>
    <m/>
    <n v="69100.649999999994"/>
    <n v="77633.439999999988"/>
    <s v="Нет"/>
    <n v="0"/>
    <n v="30"/>
    <n v="60"/>
    <s v="изменить тайминг"/>
    <m/>
    <n v="60"/>
    <m/>
    <m/>
    <m/>
    <m/>
    <m/>
    <s v="увеличить тайминг до 60 мин.в неделю"/>
    <m/>
    <x v="12"/>
  </r>
  <r>
    <s v="1000000000048624"/>
    <n v="289278"/>
    <s v="Волга-Юг"/>
    <s v="Ульяновск"/>
    <s v="Тандер"/>
    <s v="432072, Ульяновская обл, Ульяновск г, Генерала Тюленева пр-кт, дом № 25"/>
    <s v="Drogery (Хоз. магазин)"/>
    <s v="Modern Trade"/>
    <s v="Scantrack"/>
    <n v="74463.62"/>
    <n v="49642.42"/>
    <n v="43616.600000000013"/>
    <m/>
    <n v="94447.120000000024"/>
    <n v="47763.140000000007"/>
    <m/>
    <n v="64950.95"/>
    <m/>
    <n v="55404.889999999985"/>
    <n v="135037.23000000004"/>
    <m/>
    <n v="73052.319999999992"/>
    <n v="81436.73000000001"/>
    <s v="Нет"/>
    <n v="0"/>
    <n v="30"/>
    <n v="60"/>
    <s v="изменить тайминг"/>
    <m/>
    <n v="60"/>
    <m/>
    <m/>
    <m/>
    <m/>
    <m/>
    <s v="увеличить тайминг до 60 мин.в неделю"/>
    <m/>
    <x v="12"/>
  </r>
  <r>
    <s v="1000000000034157"/>
    <n v="289230"/>
    <s v="Волга-Юг"/>
    <s v="Ульяновск"/>
    <s v="Тандер"/>
    <s v="432073, Ульяновская обл, Ульяновск г, Шолмова ул, дом № 35"/>
    <s v="Drogery (Хоз. магазин)"/>
    <s v="Modern Trade"/>
    <s v="Scantrack"/>
    <n v="67093.429999999993"/>
    <n v="44728.95"/>
    <n v="38632.090000000018"/>
    <m/>
    <n v="83500.380000000019"/>
    <n v="41946.100000000028"/>
    <m/>
    <n v="65975.869999999966"/>
    <m/>
    <n v="58554.169999999984"/>
    <n v="117209.40999999997"/>
    <m/>
    <n v="59746.729999999996"/>
    <n v="71182.69"/>
    <s v="Нет"/>
    <n v="0"/>
    <n v="30"/>
    <n v="60"/>
    <s v="изменить тайминг"/>
    <m/>
    <m/>
    <n v="60"/>
    <m/>
    <m/>
    <m/>
    <m/>
    <s v="увеличить тайминг до 60 мин.в неделю"/>
    <m/>
    <x v="12"/>
  </r>
  <r>
    <s v="1000000000034031"/>
    <n v="289220"/>
    <s v="Волга-Юг"/>
    <s v="Ульяновск"/>
    <s v="Тандер"/>
    <s v="433000, Ульяновская обл, Ульяновск г, Камышинская ул, дом № 12а"/>
    <s v="Drogery (Хоз. магазин)"/>
    <s v="Modern Trade"/>
    <s v="Scantrack"/>
    <n v="62318.28"/>
    <n v="41545.519999999997"/>
    <n v="28741.210000000003"/>
    <m/>
    <n v="75807.200000000012"/>
    <n v="37740.750000000015"/>
    <m/>
    <n v="55274.969999999994"/>
    <m/>
    <n v="46220.679999999978"/>
    <n v="134490.91999999998"/>
    <m/>
    <n v="55388.619999999981"/>
    <n v="64881.899999999994"/>
    <s v="Нет"/>
    <n v="0"/>
    <n v="30"/>
    <n v="60"/>
    <s v="изменить тайминг"/>
    <m/>
    <m/>
    <n v="60"/>
    <m/>
    <m/>
    <m/>
    <m/>
    <s v="увеличить тайминг до 60 мин.в неделю"/>
    <m/>
    <x v="0"/>
  </r>
  <r>
    <s v="1000000000034426"/>
    <n v="3009"/>
    <s v="Волга-Юг"/>
    <s v="Ульяновск"/>
    <s v="Тандер"/>
    <s v="432030, Ульяновская обл, Ульяновск г, Нариманова пр-кт, дом № 75"/>
    <s v="Hypermarket (Гипермаркет)"/>
    <s v="Modern Trade"/>
    <s v="Scantrack"/>
    <n v="78826.490000000005"/>
    <n v="52551"/>
    <n v="43167.320000000007"/>
    <m/>
    <n v="127183.82000000007"/>
    <n v="29568.590000000011"/>
    <m/>
    <n v="79312.38"/>
    <m/>
    <n v="50010.05000000001"/>
    <n v="125507.88999999998"/>
    <m/>
    <n v="79121.369999999981"/>
    <n v="96740.51999999999"/>
    <s v="Нет"/>
    <n v="0"/>
    <n v="60"/>
    <n v="120"/>
    <s v="изменить тайминг"/>
    <m/>
    <m/>
    <n v="120"/>
    <m/>
    <m/>
    <m/>
    <m/>
    <s v="увеличить тайминг до 120 мин.в неделю"/>
    <m/>
    <x v="0"/>
  </r>
  <r>
    <s v="1000000000032399"/>
    <n v="2655"/>
    <s v="Волга-Юг"/>
    <s v="Димитровград"/>
    <s v="Тандер"/>
    <s v="433504, Ульяновская обл, Димитровград г, Юнг Северного Флота ул, дом № 8"/>
    <s v="Hypermarket (Гипермаркет)"/>
    <s v="Modern Trade"/>
    <s v="Scantrack"/>
    <n v="85002.19"/>
    <n v="56668.13"/>
    <n v="36639.450000000019"/>
    <m/>
    <n v="135496.15000000002"/>
    <n v="39242.740000000005"/>
    <m/>
    <n v="86317.01999999999"/>
    <m/>
    <n v="52042.520000000004"/>
    <n v="143971.5"/>
    <m/>
    <n v="81242.939999999959"/>
    <n v="105065.19"/>
    <s v="Нет"/>
    <n v="60"/>
    <n v="120"/>
    <n v="240"/>
    <s v="изменить тайминг"/>
    <n v="120"/>
    <m/>
    <m/>
    <n v="120"/>
    <m/>
    <m/>
    <m/>
    <s v="увеличить тайминг до 240 мин.в неделю"/>
    <m/>
    <x v="0"/>
  </r>
  <r>
    <s v="1025201603"/>
    <n v="3028"/>
    <s v="Волга-Юг"/>
    <s v="Ульяновск"/>
    <s v="Рубль Бум"/>
    <s v="г. Ульяновск, ул. Рябикова, 74 А"/>
    <s v="Drogery (Хоз. магазин)"/>
    <s v="Modern Trade"/>
    <s v="Other"/>
    <n v="41599.49"/>
    <n v="41599.49"/>
    <n v="26038.799999999996"/>
    <n v="28400.867000000002"/>
    <n v="43601.043999999994"/>
    <n v="23848.216000000004"/>
    <n v="27293.726000000002"/>
    <n v="13329.599000000002"/>
    <n v="41214.705999999998"/>
    <n v="82657.096000000005"/>
    <n v="73772.592000000004"/>
    <n v="52487.457999999999"/>
    <n v="30570.956000000002"/>
    <n v="55978.86"/>
    <s v="Нет"/>
    <n v="0"/>
    <n v="30"/>
    <n v="60"/>
    <s v="изменить тайминг"/>
    <m/>
    <m/>
    <n v="60"/>
    <m/>
    <m/>
    <m/>
    <m/>
    <s v="увеличить тайминг до 60 мин.в неделю"/>
    <m/>
    <x v="0"/>
  </r>
  <r>
    <s v="1000000000000517"/>
    <n v="26143"/>
    <s v="Сибирь"/>
    <s v="Барнаул"/>
    <s v="Лента"/>
    <s v="Барнаул, ул. Павловский тракт, д. 156"/>
    <s v="Hypermarket (Гипермаркет)"/>
    <s v="Modern Trade"/>
    <s v="Scantrack"/>
    <n v="1083972.49"/>
    <n v="722648.33"/>
    <n v="737766.90999999992"/>
    <m/>
    <n v="1991918.9500000009"/>
    <n v="978929.11000000034"/>
    <m/>
    <n v="868019.56"/>
    <m/>
    <n v="561161.5299999998"/>
    <n v="1470609.8899999992"/>
    <m/>
    <n v="942510.50000000012"/>
    <n v="1120863.4960000007"/>
    <s v="Нет"/>
    <n v="2400"/>
    <n v="1620"/>
    <m/>
    <s v="изменить тайминг"/>
    <m/>
    <m/>
    <m/>
    <m/>
    <m/>
    <m/>
    <m/>
    <s v="Увеличить тайминг на 120 минут, время с Ашанов"/>
    <m/>
    <x v="0"/>
  </r>
  <r>
    <s v="1000000000000527"/>
    <n v="26167"/>
    <s v="Сибирь"/>
    <s v="Бийск"/>
    <s v="Лента"/>
    <s v="ул. Цесовская уч.16"/>
    <s v="Hypermarket (Гипермаркет)"/>
    <s v="Modern Trade"/>
    <s v="Scantrack"/>
    <n v="1071042.4099999999"/>
    <n v="714028.27"/>
    <n v="647127.05999999982"/>
    <m/>
    <n v="2084421.4900000009"/>
    <n v="820651.07999999973"/>
    <m/>
    <n v="889526.7200000002"/>
    <m/>
    <n v="640276.49599999993"/>
    <n v="1403206.9519999998"/>
    <m/>
    <n v="1073460.932"/>
    <n v="1009668.5620000002"/>
    <s v="Нет"/>
    <n v="2400"/>
    <n v="1620"/>
    <m/>
    <s v="изменить тайминг"/>
    <m/>
    <m/>
    <m/>
    <m/>
    <m/>
    <m/>
    <m/>
    <s v="Увеличить тайминг на 120 минут, время с Ашанов"/>
    <m/>
    <x v="0"/>
  </r>
  <r>
    <s v="1000000000000438"/>
    <m/>
    <s v="Волга-Юг"/>
    <s v="Новороссийск"/>
    <s v="Лента"/>
    <s v="ул.Григорьева д.1"/>
    <s v="Hypermarket (Гипермаркет)"/>
    <s v="Modern Trade"/>
    <s v="Scantrack"/>
    <n v="779006.59"/>
    <n v="519337.73"/>
    <n v="477158.11999999994"/>
    <m/>
    <n v="1478041.2399999993"/>
    <n v="700795.35000000044"/>
    <m/>
    <n v="634057.16599999997"/>
    <m/>
    <n v="509105.81600000028"/>
    <n v="1007689.0519999998"/>
    <m/>
    <n v="638446.67800000007"/>
    <n v="786759.33200000005"/>
    <s v="Нет"/>
    <n v="720"/>
    <n v="1200"/>
    <n v="2400"/>
    <s v="изменить тайминг"/>
    <n v="8"/>
    <n v="8"/>
    <n v="8"/>
    <n v="8"/>
    <n v="8"/>
    <m/>
    <m/>
    <s v="Среднемесячный оборот  по году данной тт позволяет стационарного мерчендайзера. По текущему таймингу мерчендайзер не успевает выполнять работу качественно. Из за большого обьема работы и недостаточного тайминга происходит постоянная смена мерчей."/>
    <m/>
    <x v="13"/>
  </r>
  <r>
    <s v="1000000000021244"/>
    <m/>
    <s v="Волга-Юг"/>
    <s v="Краснодар"/>
    <s v="Тандер"/>
    <s v="350004, Краснодарский край, Краснодар г, им Буденного ул, дом № 2"/>
    <s v="Hypermarket (Гипермаркет)"/>
    <s v="Modern Trade"/>
    <s v="Scantrack"/>
    <n v="79831.199999999997"/>
    <n v="53220.800000000003"/>
    <n v="44099.62"/>
    <m/>
    <n v="123041.22"/>
    <n v="36243.65"/>
    <m/>
    <n v="100372.65999999997"/>
    <m/>
    <n v="62608.62"/>
    <n v="126051.26000000001"/>
    <m/>
    <n v="53868.759999999987"/>
    <n v="92363.77999999997"/>
    <s v="Нет"/>
    <n v="0"/>
    <n v="30"/>
    <m/>
    <s v="изменить тайминг"/>
    <m/>
    <n v="1"/>
    <m/>
    <m/>
    <m/>
    <m/>
    <m/>
    <m/>
    <m/>
    <x v="0"/>
  </r>
  <r>
    <s v="1000000000020278"/>
    <m/>
    <s v="Волга-Юг"/>
    <s v="Краснодар"/>
    <s v="Тандер"/>
    <s v="350007, Краснодарский край, Краснодар г, Индустриальная ул, дом № 10"/>
    <s v="Drogery (Хоз. магазин)"/>
    <s v="Modern Trade"/>
    <s v="Scantrack"/>
    <n v="66778.7"/>
    <n v="44519.14"/>
    <n v="44086.450000000004"/>
    <m/>
    <n v="90031.650000000023"/>
    <n v="41565.050000000003"/>
    <m/>
    <n v="70585.489999999991"/>
    <m/>
    <n v="57348.55000000001"/>
    <n v="112239.91"/>
    <m/>
    <n v="47481.489999999991"/>
    <n v="70891.039999999979"/>
    <s v="Нет"/>
    <n v="0"/>
    <n v="30"/>
    <m/>
    <s v="удалить ТТ"/>
    <m/>
    <m/>
    <m/>
    <m/>
    <m/>
    <m/>
    <m/>
    <m/>
    <m/>
    <x v="0"/>
  </r>
  <r>
    <s v="1000000000019986"/>
    <m/>
    <s v="Волга-Юг"/>
    <s v="Краснодар"/>
    <s v="Тандер"/>
    <s v="385132, Адыгея Респ, Тахтамукайский р-н, Новая Адыгея аул, Тургеневское шоссе ул, дом № 17"/>
    <s v="Hypermarket (Гипермаркет)"/>
    <s v="Modern Trade"/>
    <s v="Scantrack"/>
    <n v="59049.82"/>
    <n v="39366.550000000003"/>
    <n v="33676.660000000003"/>
    <m/>
    <n v="94720.930000000022"/>
    <n v="29108.330000000009"/>
    <m/>
    <n v="67214.909999999989"/>
    <m/>
    <n v="45894.509999999995"/>
    <n v="83034.31"/>
    <m/>
    <n v="39491.279999999999"/>
    <n v="79257.640000000014"/>
    <s v="Нет"/>
    <n v="0"/>
    <n v="30"/>
    <m/>
    <s v="изменить тайминг"/>
    <m/>
    <n v="1"/>
    <m/>
    <m/>
    <m/>
    <m/>
    <m/>
    <m/>
    <m/>
    <x v="0"/>
  </r>
  <r>
    <s v="1000000000018580"/>
    <m/>
    <s v="Волга-Юг"/>
    <s v="Краснодар"/>
    <s v="Х5 Экспресс Ритейл"/>
    <s v="Российская ул., 65"/>
    <s v="Superettes (Суперетта)"/>
    <s v="Modern Trade"/>
    <s v="Scantrack"/>
    <n v="38754.230000000003"/>
    <n v="25836.15"/>
    <n v="21451.55"/>
    <m/>
    <n v="67580.949999999983"/>
    <n v="26714.579999999994"/>
    <m/>
    <n v="21134.1"/>
    <m/>
    <n v="30654.040000000005"/>
    <n v="43401.87999999999"/>
    <m/>
    <n v="40759.630000000005"/>
    <n v="58337.110000000015"/>
    <s v="Нет"/>
    <n v="0"/>
    <n v="30"/>
    <m/>
    <s v="удалить ТТ"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3BA160-9AAB-42F2-B3F0-DB416523FA5A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18" firstHeaderRow="0" firstDataRow="1" firstDataCol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7"/>
        <item x="2"/>
        <item x="3"/>
        <item x="13"/>
        <item x="0"/>
        <item x="1"/>
        <item x="4"/>
        <item x="5"/>
        <item x="6"/>
        <item x="8"/>
        <item x="9"/>
        <item x="10"/>
        <item x="11"/>
        <item x="12"/>
        <item t="default"/>
      </items>
    </pivotField>
    <pivotField dataField="1" dragToRow="0" dragToCol="0" dragToPage="0" showAll="0" defaultSubtotal="0"/>
  </pivotFields>
  <rowFields count="1">
    <field x="37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Действие" fld="27" subtotal="count" baseField="37" baseItem="0"/>
    <dataField name="Sum of Текущий тайминг" fld="25" baseField="0" baseItem="0"/>
    <dataField name="Sum of Желаемый тайминг" fld="26" baseField="0" baseItem="0"/>
    <dataField name="Sum of Dif" fld="3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03FDAC-6404-4614-9A43-220A66E39FCF}" name="Table4" displayName="Table4" ref="A2:AL3" insertRow="1" totalsRowShown="0" headerRowDxfId="5" headerRowBorderDxfId="4" tableBorderDxfId="3" headerRowCellStyle="Comma">
  <autoFilter ref="A2:AL3" xr:uid="{8B7BBF18-A643-4267-B952-476555D555DF}"/>
  <tableColumns count="38">
    <tableColumn id="1" xr3:uid="{26A6CC70-7213-4CEB-B88C-4775D04A01E3}" name="код SWE из CRM"/>
    <tableColumn id="2" xr3:uid="{B1C2135A-510D-45DD-AA48-16A8D65FD3D8}" name="ID Easy merch"/>
    <tableColumn id="4" xr3:uid="{405D57E1-6A01-42E5-9C15-1DEC01C27A37}" name="Регион"/>
    <tableColumn id="5" xr3:uid="{EDCAF228-5423-42B4-9507-E62396B1FCDA}" name="Город"/>
    <tableColumn id="6" xr3:uid="{035AE576-D210-4E55-9DF4-336EC1EEED47}" name="Название сети"/>
    <tableColumn id="7" xr3:uid="{7670170F-FFF7-422D-9D72-FA5FFD2D08B7}" name="Адрес"/>
    <tableColumn id="8" xr3:uid="{E0ECE1ED-2915-49B6-80DD-B78EB99B61D5}" name="Формат по Nielsen"/>
    <tableColumn id="9" xr3:uid="{BECD25DD-A5E2-435B-9FF9-78DDCF307BD0}" name="Канал ТС"/>
    <tableColumn id="10" xr3:uid="{78A66920-EBD6-4B07-ADD6-8C33842CDBCC}" name="Кооператор Nielsen"/>
    <tableColumn id="11" xr3:uid="{6236AE80-0C32-40D7-8D7C-9E1E142542E5}" name="Среднемесячные продажи"/>
    <tableColumn id="12" xr3:uid="{B72C2D67-650C-4E53-8AEB-CBDB671DE82D}" name="Среднемесячные продажи HY (PS) "/>
    <tableColumn id="13" xr3:uid="{16545A54-4E9F-4DD0-80C8-78AB1A2FEE0B}" name="M-2"/>
    <tableColumn id="14" xr3:uid="{C5198E27-45BA-40A7-B729-615EECF32021}" name="M-3"/>
    <tableColumn id="15" xr3:uid="{16E2E043-B907-4AAA-A926-37C28212B9FB}" name="M-4"/>
    <tableColumn id="16" xr3:uid="{FB190EE0-9534-439F-9697-2909AE5AA163}" name="M-5"/>
    <tableColumn id="17" xr3:uid="{9BA9DC5B-6541-49E1-A4B2-6F0CBB716D24}" name="M-6"/>
    <tableColumn id="18" xr3:uid="{BBC89EA8-81D6-4E8B-9754-AA7AF3A89278}" name="M-7"/>
    <tableColumn id="19" xr3:uid="{0852CBD1-1FAE-4067-B3B2-C20015889B01}" name="M-8"/>
    <tableColumn id="20" xr3:uid="{06E31D81-1148-4297-9E2C-49D9320493A3}" name="M-9"/>
    <tableColumn id="21" xr3:uid="{6D573FDE-53E0-4D3D-9AF9-4481CAA42730}" name="M-10"/>
    <tableColumn id="22" xr3:uid="{3A5F4BB0-D3A9-49DC-B215-1E1CEE843AD2}" name="M-11"/>
    <tableColumn id="23" xr3:uid="{355ABDDF-122A-4FE6-86D2-1117B9E37B50}" name="M-12"/>
    <tableColumn id="24" xr3:uid="{9EAF6C71-3F22-43AB-9DCA-4304DD86FDBA}" name="M-13"/>
    <tableColumn id="25" xr3:uid="{32B531A1-D4D1-4995-9616-95FC86A47784}" name="РЦ"/>
    <tableColumn id="26" xr3:uid="{FA0CC1F9-094D-4C6C-9976-F6A62CD1B412}" name="Тайминг по KPI (минут в неделю)"/>
    <tableColumn id="27" xr3:uid="{4149188C-D4F1-4B32-8125-DE9D52308F1E}" name="Текущий тайминг (минут в неделю)"/>
    <tableColumn id="28" xr3:uid="{6A39C8DB-A76F-4C91-BDB1-1D12C29EF804}" name="Желаемый тайминг, минут в неделю"/>
    <tableColumn id="29" xr3:uid="{60BBB62B-40C4-4A1F-821B-BC42BFB93AD2}" name="Действие (удалить\добавить\изменить длительность работы в ТТ)"/>
    <tableColumn id="30" xr3:uid="{79FCC0D3-6F5E-4FDD-8EB6-1CF3ABC410ED}" name="пн"/>
    <tableColumn id="31" xr3:uid="{010AC60D-3FD5-4A63-8354-844696B7D263}" name="вт"/>
    <tableColumn id="32" xr3:uid="{2B2DEB83-6E03-42C3-9F40-645099D3C991}" name="ср"/>
    <tableColumn id="33" xr3:uid="{3CC5EA99-59E1-46B3-AD8B-2222DEA48CFD}" name="чт"/>
    <tableColumn id="34" xr3:uid="{2FDCDB28-A131-4ECB-B081-1EDC98337EB7}" name="пт"/>
    <tableColumn id="35" xr3:uid="{5BC4CD5B-AE71-45BC-AE08-89D960C327C8}" name="сб"/>
    <tableColumn id="36" xr3:uid="{E55FC10E-6148-424D-8199-FD03F91EB768}" name="вс"/>
    <tableColumn id="37" xr3:uid="{130CF18A-F371-4ECE-93F9-DAC9F3C0C5DC}" name="комментарий Sales"/>
    <tableColumn id="38" xr3:uid="{4A14C046-A005-4C1C-9E39-62463E154FA3}" name="комментарий S&amp;CM"/>
    <tableColumn id="3" xr3:uid="{A5E1775B-B0CF-465F-9093-3D3E9B6EA14F}" name="ФИО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"/>
  <sheetViews>
    <sheetView tabSelected="1" zoomScale="80" zoomScaleNormal="80" workbookViewId="0">
      <selection activeCell="L5" sqref="L5"/>
    </sheetView>
  </sheetViews>
  <sheetFormatPr defaultRowHeight="15" x14ac:dyDescent="0.25"/>
  <cols>
    <col min="1" max="1" width="20.28515625" customWidth="1"/>
    <col min="2" max="2" width="12.28515625" customWidth="1"/>
    <col min="3" max="3" width="9.7109375" bestFit="1" customWidth="1"/>
    <col min="4" max="4" width="10.140625" bestFit="1" customWidth="1"/>
    <col min="5" max="5" width="30.42578125" customWidth="1"/>
    <col min="6" max="6" width="40.140625" bestFit="1" customWidth="1"/>
    <col min="7" max="7" width="15.42578125" bestFit="1" customWidth="1"/>
    <col min="8" max="8" width="10.42578125" bestFit="1" customWidth="1"/>
    <col min="9" max="9" width="11.28515625" customWidth="1"/>
    <col min="10" max="23" width="12.85546875" customWidth="1"/>
    <col min="24" max="24" width="7" customWidth="1"/>
    <col min="25" max="25" width="7.85546875" customWidth="1"/>
    <col min="26" max="26" width="12.7109375" customWidth="1"/>
    <col min="27" max="27" width="11.140625" customWidth="1"/>
    <col min="28" max="28" width="18.140625" customWidth="1"/>
    <col min="29" max="35" width="4.28515625" customWidth="1"/>
    <col min="36" max="36" width="27.42578125" customWidth="1"/>
    <col min="37" max="37" width="35.5703125" bestFit="1" customWidth="1"/>
    <col min="38" max="38" width="19.7109375" customWidth="1"/>
  </cols>
  <sheetData>
    <row r="1" spans="1:38" ht="51" customHeight="1" x14ac:dyDescent="0.25"/>
    <row r="2" spans="1:38" ht="48" x14ac:dyDescent="0.25">
      <c r="A2" s="16" t="s">
        <v>0</v>
      </c>
      <c r="B2" s="16" t="s">
        <v>1</v>
      </c>
      <c r="C2" s="16" t="s">
        <v>2</v>
      </c>
      <c r="D2" s="16" t="s">
        <v>3</v>
      </c>
      <c r="E2" s="17" t="s">
        <v>62</v>
      </c>
      <c r="F2" s="17" t="s">
        <v>4</v>
      </c>
      <c r="G2" s="18" t="s">
        <v>63</v>
      </c>
      <c r="H2" s="18" t="s">
        <v>5</v>
      </c>
      <c r="I2" s="17" t="s">
        <v>64</v>
      </c>
      <c r="J2" s="17" t="s">
        <v>65</v>
      </c>
      <c r="K2" s="17" t="s">
        <v>66</v>
      </c>
      <c r="L2" s="12" t="s" vm="1">
        <v>37</v>
      </c>
      <c r="M2" s="12" t="s" vm="2">
        <v>38</v>
      </c>
      <c r="N2" s="12" t="s" vm="3">
        <v>39</v>
      </c>
      <c r="O2" s="12" t="s" vm="4">
        <v>40</v>
      </c>
      <c r="P2" s="12" t="s" vm="5">
        <v>41</v>
      </c>
      <c r="Q2" s="12" t="s" vm="6">
        <v>42</v>
      </c>
      <c r="R2" s="12" t="s" vm="7">
        <v>43</v>
      </c>
      <c r="S2" s="12" t="s" vm="8">
        <v>44</v>
      </c>
      <c r="T2" s="12" t="s" vm="9">
        <v>45</v>
      </c>
      <c r="U2" s="12" t="s" vm="10">
        <v>46</v>
      </c>
      <c r="V2" s="12" t="s" vm="11">
        <v>47</v>
      </c>
      <c r="W2" s="12" t="s">
        <v>69</v>
      </c>
      <c r="X2" s="17" t="s">
        <v>67</v>
      </c>
      <c r="Y2" s="19" t="s">
        <v>48</v>
      </c>
      <c r="Z2" s="19" t="s">
        <v>49</v>
      </c>
      <c r="AA2" s="20" t="s">
        <v>51</v>
      </c>
      <c r="AB2" s="20" t="s">
        <v>6</v>
      </c>
      <c r="AC2" s="20" t="s">
        <v>7</v>
      </c>
      <c r="AD2" s="20" t="s">
        <v>8</v>
      </c>
      <c r="AE2" s="20" t="s">
        <v>9</v>
      </c>
      <c r="AF2" s="20" t="s">
        <v>10</v>
      </c>
      <c r="AG2" s="20" t="s">
        <v>11</v>
      </c>
      <c r="AH2" s="20" t="s">
        <v>12</v>
      </c>
      <c r="AI2" s="20" t="s">
        <v>13</v>
      </c>
      <c r="AJ2" s="20" t="s">
        <v>68</v>
      </c>
      <c r="AK2" s="20" t="s">
        <v>14</v>
      </c>
      <c r="AL2" s="19" t="s">
        <v>50</v>
      </c>
    </row>
  </sheetData>
  <phoneticPr fontId="15" type="noConversion"/>
  <conditionalFormatting sqref="L2:W2">
    <cfRule type="duplicateValues" dxfId="2" priority="3"/>
  </conditionalFormatting>
  <conditionalFormatting sqref="M2 O2 Q2 S2">
    <cfRule type="duplicateValues" dxfId="1" priority="2"/>
  </conditionalFormatting>
  <conditionalFormatting sqref="L2 N2 P2 R2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Consolidation">
                <anchor moveWithCells="1" sizeWithCells="1">
                  <from>
                    <xdr:col>0</xdr:col>
                    <xdr:colOff>600075</xdr:colOff>
                    <xdr:row>0</xdr:row>
                    <xdr:rowOff>57150</xdr:rowOff>
                  </from>
                  <to>
                    <xdr:col>1</xdr:col>
                    <xdr:colOff>600075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clear_data">
                <anchor moveWithCells="1" sizeWithCells="1">
                  <from>
                    <xdr:col>4</xdr:col>
                    <xdr:colOff>628650</xdr:colOff>
                    <xdr:row>0</xdr:row>
                    <xdr:rowOff>57150</xdr:rowOff>
                  </from>
                  <to>
                    <xdr:col>4</xdr:col>
                    <xdr:colOff>1819275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D3203-5EE7-49E6-AC22-C61C5A027980}">
  <sheetPr codeName="Sheet3"/>
  <dimension ref="A3:E18"/>
  <sheetViews>
    <sheetView workbookViewId="0">
      <selection activeCell="C6" sqref="C6"/>
    </sheetView>
  </sheetViews>
  <sheetFormatPr defaultRowHeight="15" x14ac:dyDescent="0.25"/>
  <cols>
    <col min="1" max="1" width="16" bestFit="1" customWidth="1"/>
    <col min="2" max="2" width="18" bestFit="1" customWidth="1"/>
    <col min="3" max="3" width="24.140625" bestFit="1" customWidth="1"/>
    <col min="4" max="4" width="26.5703125" bestFit="1" customWidth="1"/>
    <col min="5" max="5" width="10.140625" bestFit="1" customWidth="1"/>
    <col min="6" max="6" width="44.28515625" bestFit="1" customWidth="1"/>
    <col min="7" max="7" width="45.42578125" bestFit="1" customWidth="1"/>
  </cols>
  <sheetData>
    <row r="3" spans="1:5" x14ac:dyDescent="0.25">
      <c r="A3" s="13" t="s">
        <v>53</v>
      </c>
      <c r="B3" t="s">
        <v>54</v>
      </c>
      <c r="C3" t="s">
        <v>55</v>
      </c>
      <c r="D3" t="s">
        <v>56</v>
      </c>
      <c r="E3" t="s">
        <v>57</v>
      </c>
    </row>
    <row r="4" spans="1:5" x14ac:dyDescent="0.25">
      <c r="A4" s="14">
        <v>0</v>
      </c>
      <c r="B4" s="15">
        <v>3</v>
      </c>
      <c r="C4" s="15">
        <v>60</v>
      </c>
      <c r="D4" s="15">
        <v>60</v>
      </c>
      <c r="E4" s="15">
        <v>0</v>
      </c>
    </row>
    <row r="5" spans="1:5" x14ac:dyDescent="0.25">
      <c r="A5" s="14" t="s">
        <v>59</v>
      </c>
      <c r="B5" s="15">
        <v>3</v>
      </c>
      <c r="C5" s="15">
        <v>120</v>
      </c>
      <c r="D5" s="15">
        <v>120</v>
      </c>
      <c r="E5" s="15">
        <v>0</v>
      </c>
    </row>
    <row r="6" spans="1:5" x14ac:dyDescent="0.25">
      <c r="A6" s="14" t="s">
        <v>60</v>
      </c>
      <c r="B6" s="15">
        <v>2</v>
      </c>
      <c r="C6" s="15">
        <v>120</v>
      </c>
      <c r="D6" s="15">
        <v>180</v>
      </c>
      <c r="E6" s="15">
        <v>-60</v>
      </c>
    </row>
    <row r="7" spans="1:5" x14ac:dyDescent="0.25">
      <c r="A7" s="14" t="s">
        <v>61</v>
      </c>
      <c r="B7" s="15">
        <v>1</v>
      </c>
      <c r="C7" s="15">
        <v>1200</v>
      </c>
      <c r="D7" s="15">
        <v>2400</v>
      </c>
      <c r="E7" s="15">
        <v>-1200</v>
      </c>
    </row>
    <row r="8" spans="1:5" x14ac:dyDescent="0.25">
      <c r="A8" s="14" t="s">
        <v>58</v>
      </c>
      <c r="B8" s="15">
        <v>17</v>
      </c>
      <c r="C8" s="15">
        <v>7020</v>
      </c>
      <c r="D8" s="15">
        <v>4260</v>
      </c>
      <c r="E8" s="15">
        <v>2760</v>
      </c>
    </row>
    <row r="9" spans="1:5" x14ac:dyDescent="0.25">
      <c r="A9" s="14" t="s">
        <v>70</v>
      </c>
      <c r="B9" s="15">
        <v>5</v>
      </c>
      <c r="C9" s="15">
        <v>960</v>
      </c>
      <c r="D9" s="15">
        <v>0</v>
      </c>
      <c r="E9" s="15">
        <v>960</v>
      </c>
    </row>
    <row r="10" spans="1:5" x14ac:dyDescent="0.25">
      <c r="A10" s="14" t="s">
        <v>71</v>
      </c>
      <c r="B10" s="15">
        <v>9</v>
      </c>
      <c r="C10" s="15">
        <v>1380</v>
      </c>
      <c r="D10" s="15">
        <v>1260</v>
      </c>
      <c r="E10" s="15">
        <v>120</v>
      </c>
    </row>
    <row r="11" spans="1:5" x14ac:dyDescent="0.25">
      <c r="A11" s="14" t="s">
        <v>72</v>
      </c>
      <c r="B11" s="15">
        <v>1</v>
      </c>
      <c r="C11" s="15">
        <v>720</v>
      </c>
      <c r="D11" s="15">
        <v>2580</v>
      </c>
      <c r="E11" s="15">
        <v>-1860</v>
      </c>
    </row>
    <row r="12" spans="1:5" x14ac:dyDescent="0.25">
      <c r="A12" s="14" t="s">
        <v>73</v>
      </c>
      <c r="B12" s="15">
        <v>8</v>
      </c>
      <c r="C12" s="15">
        <v>150</v>
      </c>
      <c r="D12" s="15">
        <v>330</v>
      </c>
      <c r="E12" s="15">
        <v>-180</v>
      </c>
    </row>
    <row r="13" spans="1:5" x14ac:dyDescent="0.25">
      <c r="A13" s="14" t="s">
        <v>74</v>
      </c>
      <c r="B13" s="15">
        <v>4</v>
      </c>
      <c r="C13" s="15">
        <v>60</v>
      </c>
      <c r="D13" s="15">
        <v>360</v>
      </c>
      <c r="E13" s="15">
        <v>-300</v>
      </c>
    </row>
    <row r="14" spans="1:5" x14ac:dyDescent="0.25">
      <c r="A14" s="14" t="s">
        <v>75</v>
      </c>
      <c r="B14" s="15">
        <v>4</v>
      </c>
      <c r="C14" s="15">
        <v>1020</v>
      </c>
      <c r="D14" s="15">
        <v>660</v>
      </c>
      <c r="E14" s="15">
        <v>360</v>
      </c>
    </row>
    <row r="15" spans="1:5" x14ac:dyDescent="0.25">
      <c r="A15" s="14" t="s">
        <v>76</v>
      </c>
      <c r="B15" s="15">
        <v>12</v>
      </c>
      <c r="C15" s="15">
        <v>300</v>
      </c>
      <c r="D15" s="15">
        <v>1080</v>
      </c>
      <c r="E15" s="15">
        <v>-780</v>
      </c>
    </row>
    <row r="16" spans="1:5" x14ac:dyDescent="0.25">
      <c r="A16" s="14" t="s">
        <v>77</v>
      </c>
      <c r="B16" s="15">
        <v>8</v>
      </c>
      <c r="C16" s="15">
        <v>720</v>
      </c>
      <c r="D16" s="15">
        <v>2820</v>
      </c>
      <c r="E16" s="15">
        <v>-2100</v>
      </c>
    </row>
    <row r="17" spans="1:5" x14ac:dyDescent="0.25">
      <c r="A17" s="14" t="s">
        <v>78</v>
      </c>
      <c r="B17" s="15">
        <v>11</v>
      </c>
      <c r="C17" s="15">
        <v>660</v>
      </c>
      <c r="D17" s="15">
        <v>420</v>
      </c>
      <c r="E17" s="15">
        <v>240</v>
      </c>
    </row>
    <row r="18" spans="1:5" x14ac:dyDescent="0.25">
      <c r="A18" s="14" t="s">
        <v>52</v>
      </c>
      <c r="B18" s="15">
        <v>88</v>
      </c>
      <c r="C18" s="15">
        <v>14490</v>
      </c>
      <c r="D18" s="15">
        <v>16530</v>
      </c>
      <c r="E18" s="15">
        <v>-2040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94B1-4B65-4829-BEDC-92852A85E6B8}">
  <sheetPr codeName="Sheet2"/>
  <dimension ref="A1:B16"/>
  <sheetViews>
    <sheetView topLeftCell="A2" workbookViewId="0">
      <selection activeCell="H7" sqref="H7"/>
    </sheetView>
  </sheetViews>
  <sheetFormatPr defaultColWidth="8.85546875" defaultRowHeight="14.25" x14ac:dyDescent="0.2"/>
  <cols>
    <col min="1" max="2" width="57.28515625" style="1" customWidth="1"/>
    <col min="3" max="16384" width="8.85546875" style="1"/>
  </cols>
  <sheetData>
    <row r="1" spans="1:2" ht="55.5" customHeight="1" x14ac:dyDescent="0.25">
      <c r="A1" s="21" t="s">
        <v>15</v>
      </c>
      <c r="B1" s="21"/>
    </row>
    <row r="2" spans="1:2" ht="15" thickBot="1" x14ac:dyDescent="0.25"/>
    <row r="3" spans="1:2" ht="18.75" customHeight="1" thickBot="1" x14ac:dyDescent="0.25">
      <c r="A3" s="2" t="s">
        <v>16</v>
      </c>
      <c r="B3" s="3" t="s">
        <v>17</v>
      </c>
    </row>
    <row r="4" spans="1:2" ht="18.75" customHeight="1" x14ac:dyDescent="0.2">
      <c r="A4" s="22" t="s">
        <v>18</v>
      </c>
      <c r="B4" s="4" t="s">
        <v>19</v>
      </c>
    </row>
    <row r="5" spans="1:2" ht="18.75" customHeight="1" x14ac:dyDescent="0.2">
      <c r="A5" s="22"/>
      <c r="B5" s="4" t="s">
        <v>20</v>
      </c>
    </row>
    <row r="6" spans="1:2" ht="18.75" customHeight="1" x14ac:dyDescent="0.2">
      <c r="A6" s="5"/>
      <c r="B6" s="6" t="s">
        <v>21</v>
      </c>
    </row>
    <row r="7" spans="1:2" ht="18.75" customHeight="1" x14ac:dyDescent="0.2">
      <c r="A7" s="7" t="s">
        <v>22</v>
      </c>
      <c r="B7" s="4" t="s">
        <v>23</v>
      </c>
    </row>
    <row r="8" spans="1:2" ht="18.75" customHeight="1" x14ac:dyDescent="0.2">
      <c r="A8" s="7" t="s">
        <v>24</v>
      </c>
      <c r="B8" s="4" t="s">
        <v>25</v>
      </c>
    </row>
    <row r="9" spans="1:2" ht="18.75" customHeight="1" x14ac:dyDescent="0.2">
      <c r="A9" s="7" t="s">
        <v>26</v>
      </c>
      <c r="B9" s="4" t="s">
        <v>27</v>
      </c>
    </row>
    <row r="10" spans="1:2" ht="18.75" customHeight="1" x14ac:dyDescent="0.2">
      <c r="A10" s="7" t="s">
        <v>28</v>
      </c>
      <c r="B10" s="4" t="s">
        <v>29</v>
      </c>
    </row>
    <row r="11" spans="1:2" ht="18.75" customHeight="1" x14ac:dyDescent="0.2">
      <c r="A11" s="5"/>
      <c r="B11" s="6" t="s">
        <v>30</v>
      </c>
    </row>
    <row r="12" spans="1:2" ht="18.75" customHeight="1" x14ac:dyDescent="0.2">
      <c r="A12" s="7" t="s">
        <v>31</v>
      </c>
      <c r="B12" s="8" t="s">
        <v>32</v>
      </c>
    </row>
    <row r="13" spans="1:2" ht="18.75" customHeight="1" x14ac:dyDescent="0.2">
      <c r="A13" s="7" t="s">
        <v>33</v>
      </c>
      <c r="B13" s="8" t="s">
        <v>34</v>
      </c>
    </row>
    <row r="14" spans="1:2" ht="18.75" customHeight="1" x14ac:dyDescent="0.2">
      <c r="A14" s="7" t="s">
        <v>26</v>
      </c>
      <c r="B14" s="8" t="s">
        <v>35</v>
      </c>
    </row>
    <row r="15" spans="1:2" ht="18.75" customHeight="1" thickBot="1" x14ac:dyDescent="0.25">
      <c r="A15" s="9" t="s">
        <v>28</v>
      </c>
      <c r="B15" s="10" t="s">
        <v>36</v>
      </c>
    </row>
    <row r="16" spans="1:2" x14ac:dyDescent="0.2">
      <c r="A16" s="11"/>
      <c r="B16" s="11"/>
    </row>
  </sheetData>
  <mergeCells count="2">
    <mergeCell ref="A1:B1"/>
    <mergeCell ref="A4:A5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8D7115D7498B46B34708372CEED998" ma:contentTypeVersion="13" ma:contentTypeDescription="Create a new document." ma:contentTypeScope="" ma:versionID="60284d496a9a1ba86d1b428b2bbcb1b2">
  <xsd:schema xmlns:xsd="http://www.w3.org/2001/XMLSchema" xmlns:xs="http://www.w3.org/2001/XMLSchema" xmlns:p="http://schemas.microsoft.com/office/2006/metadata/properties" xmlns:ns3="52c37426-0bab-4e76-bacb-8e8e0df8ad9d" xmlns:ns4="fdad0880-40f1-46d8-97c0-bc9f1050b409" targetNamespace="http://schemas.microsoft.com/office/2006/metadata/properties" ma:root="true" ma:fieldsID="20805e1d21efe86687740f3ae236475a" ns3:_="" ns4:_="">
    <xsd:import namespace="52c37426-0bab-4e76-bacb-8e8e0df8ad9d"/>
    <xsd:import namespace="fdad0880-40f1-46d8-97c0-bc9f1050b40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37426-0bab-4e76-bacb-8e8e0df8ad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ad0880-40f1-46d8-97c0-bc9f1050b409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469E0EC-DA7B-483A-88AE-AD4EF84897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c37426-0bab-4e76-bacb-8e8e0df8ad9d"/>
    <ds:schemaRef ds:uri="fdad0880-40f1-46d8-97c0-bc9f1050b4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0CDB40-9750-417A-8457-E0EDB266C6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D01B234-9DD7-4107-88F2-F7E1B01B623E}">
  <ds:schemaRefs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elements/1.1/"/>
    <ds:schemaRef ds:uri="http://purl.org/dc/dcmitype/"/>
    <ds:schemaRef ds:uri="fdad0880-40f1-46d8-97c0-bc9f1050b409"/>
    <ds:schemaRef ds:uri="52c37426-0bab-4e76-bacb-8e8e0df8ad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Заявки</vt:lpstr>
      <vt:lpstr>Pivot</vt:lpstr>
      <vt:lpstr>KPI для подключения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2020-11-24T06:23:10Z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0x0101003C8D7115D7498B46B34708372CEED998</vt:lpwstr>
  </property>
</Properties>
</file>