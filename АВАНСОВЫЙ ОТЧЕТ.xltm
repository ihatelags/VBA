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74837BA0-65D6-932C-5D65-3B800EBDC722}"/>
  <workbookPr updateLinks="never" codeName="ЭтаКнига"/>
  <mc:AlternateContent xmlns:mc="http://schemas.openxmlformats.org/markup-compatibility/2006">
    <mc:Choice Requires="x15">
      <x15ac:absPath xmlns:x15ac="http://schemas.microsoft.com/office/spreadsheetml/2010/11/ac" url="C:\Users\konkova\OneDrive - BDF Group\Desktop\"/>
    </mc:Choice>
  </mc:AlternateContent>
  <xr:revisionPtr revIDLastSave="0" documentId="13_ncr:1_{DC5EBA36-BFF7-4292-9940-726BACE6CE53}" xr6:coauthVersionLast="44" xr6:coauthVersionMax="45" xr10:uidLastSave="{00000000-0000-0000-0000-000000000000}"/>
  <workbookProtection workbookAlgorithmName="SHA-512" workbookHashValue="XFvifGNo7nVgG8NchzOG+3KFyfiTYADgwUtnmSzf1/3BoAcJGV0+s1QBguB/Jb7y2vciaul422hZCBjIIfahjQ==" workbookSaltValue="pYz7RjqivAJXixNRUf+lCg==" workbookSpinCount="100000" lockStructure="1"/>
  <bookViews>
    <workbookView xWindow="-120" yWindow="-120" windowWidth="20730" windowHeight="10845" tabRatio="805" xr2:uid="{00000000-000D-0000-FFFF-FFFF00000000}"/>
  </bookViews>
  <sheets>
    <sheet name="Инструкция" sheetId="1" r:id="rId1"/>
    <sheet name="Форма для заполнения" sheetId="2" state="hidden" r:id="rId2"/>
    <sheet name="Авансовый отчет" sheetId="3" state="hidden" r:id="rId3"/>
    <sheet name="Список работников" sheetId="9" state="hidden" r:id="rId4"/>
    <sheet name="Исходные данные" sheetId="5" state="hidden" r:id="rId5"/>
    <sheet name="Travel &amp; Expense Claim" sheetId="10" state="hidden" r:id="rId6"/>
    <sheet name="Upload" sheetId="11" state="hidden" r:id="rId7"/>
    <sheet name="Курсы валют" sheetId="8" state="hidden" r:id="rId8"/>
    <sheet name="Сумма прописью" sheetId="6" state="hidden" r:id="rId9"/>
  </sheets>
  <externalReferences>
    <externalReference r:id="rId10"/>
    <externalReference r:id="rId11"/>
  </externalReferences>
  <definedNames>
    <definedName name="_xlnm._FilterDatabase" localSheetId="3" hidden="1">'Список работников'!$A$1:$O$270</definedName>
    <definedName name="Cost_Center">'Исходные данные'!$A$53:$A$58</definedName>
    <definedName name="currates" localSheetId="7">'Курсы валют'!$A$2:$E$35</definedName>
    <definedName name="EmployeesList">'Список работников'!$B$2:$B$270</definedName>
    <definedName name="ExpenseType">'Исходные данные'!$K$41:$K$44</definedName>
    <definedName name="ExpenseTypeTable">'Исходные данные'!$K$41:$L$44</definedName>
    <definedName name="Income">'Исходные данные'!$E$24:$E$25</definedName>
    <definedName name="IO">'Исходные данные'!$D$24:$D$35</definedName>
    <definedName name="PaymentType">'Исходные данные'!$E$26:$E$27</definedName>
    <definedName name="_xlnm.Print_Area" localSheetId="5">'Travel &amp; Expense Claim'!$A$1:$R$57</definedName>
    <definedName name="_xlnm.Print_Area" localSheetId="2">'Авансовый отчет'!$A$1:$J$75</definedName>
    <definedName name="_xlnm.Print_Area" localSheetId="0">Инструкция!$A$1:$G$30</definedName>
    <definedName name="TaxCode">'Исходные данные'!$A$43:$A$47</definedName>
    <definedName name="TaxCodeTable">'Исходные данные'!$A$41:$C$45</definedName>
    <definedName name="YesNo">'Исходные данные'!$A$37:$A$38</definedName>
    <definedName name="YesNoTable">'Исходные данные'!$A$36:$B$37</definedName>
    <definedName name="Z_0047C449_E5B1_4E19_878D_F58E6F8A4677_.wvu.Cols" localSheetId="4" hidden="1">'Исходные данные'!$F:$F</definedName>
    <definedName name="Z_0047C449_E5B1_4E19_878D_F58E6F8A4677_.wvu.PrintArea" localSheetId="2" hidden="1">'Авансовый отчет'!#REF!</definedName>
    <definedName name="Z_0047C449_E5B1_4E19_878D_F58E6F8A4677_.wvu.Rows" localSheetId="4" hidden="1">'Исходные данные'!$2:$12</definedName>
  </definedNames>
  <calcPr calcId="191029"/>
  <customWorkbookViews>
    <customWorkbookView name="lev.syrotkin - Личное представление" guid="{0047C449-E5B1-4E19-878D-F58E6F8A4677}" mergeInterval="0" personalView="1" maximized="1" windowWidth="1362" windowHeight="546" activeSheetId="1"/>
  </customWorkbookViews>
  <pivotCaches>
    <pivotCache cacheId="0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0" i="3" l="1"/>
  <c r="I70" i="3" s="1"/>
  <c r="D70" i="3"/>
  <c r="C70" i="3"/>
  <c r="B70" i="3"/>
  <c r="I69" i="3"/>
  <c r="E69" i="3"/>
  <c r="D69" i="3"/>
  <c r="C69" i="3"/>
  <c r="B69" i="3"/>
  <c r="E68" i="3"/>
  <c r="I68" i="3" s="1"/>
  <c r="D68" i="3"/>
  <c r="C68" i="3"/>
  <c r="B68" i="3"/>
  <c r="I67" i="3"/>
  <c r="E67" i="3"/>
  <c r="D67" i="3"/>
  <c r="C67" i="3"/>
  <c r="B67" i="3"/>
  <c r="E66" i="3"/>
  <c r="I66" i="3" s="1"/>
  <c r="D66" i="3"/>
  <c r="C66" i="3"/>
  <c r="B66" i="3"/>
  <c r="E65" i="3"/>
  <c r="I65" i="3" s="1"/>
  <c r="D65" i="3"/>
  <c r="C65" i="3"/>
  <c r="B65" i="3"/>
  <c r="E64" i="3"/>
  <c r="I64" i="3" s="1"/>
  <c r="D64" i="3"/>
  <c r="C64" i="3"/>
  <c r="B64" i="3"/>
  <c r="E63" i="3"/>
  <c r="I63" i="3" s="1"/>
  <c r="D63" i="3"/>
  <c r="C63" i="3"/>
  <c r="B63" i="3"/>
  <c r="E62" i="3"/>
  <c r="I62" i="3" s="1"/>
  <c r="D62" i="3"/>
  <c r="C62" i="3"/>
  <c r="B62" i="3"/>
  <c r="I61" i="3"/>
  <c r="E61" i="3"/>
  <c r="D61" i="3"/>
  <c r="C61" i="3"/>
  <c r="B61" i="3"/>
  <c r="E60" i="3"/>
  <c r="I60" i="3" s="1"/>
  <c r="D60" i="3"/>
  <c r="C60" i="3"/>
  <c r="B60" i="3"/>
  <c r="I59" i="3"/>
  <c r="E59" i="3"/>
  <c r="D59" i="3"/>
  <c r="C59" i="3"/>
  <c r="B59" i="3"/>
  <c r="E58" i="3"/>
  <c r="I58" i="3" s="1"/>
  <c r="D58" i="3"/>
  <c r="C58" i="3"/>
  <c r="B58" i="3"/>
  <c r="E57" i="3"/>
  <c r="I57" i="3" s="1"/>
  <c r="D57" i="3"/>
  <c r="C57" i="3"/>
  <c r="B57" i="3"/>
  <c r="E56" i="3"/>
  <c r="I56" i="3" s="1"/>
  <c r="D56" i="3"/>
  <c r="C56" i="3"/>
  <c r="B56" i="3"/>
  <c r="E55" i="3"/>
  <c r="I55" i="3" s="1"/>
  <c r="D55" i="3"/>
  <c r="C55" i="3"/>
  <c r="B55" i="3"/>
  <c r="E54" i="3"/>
  <c r="I54" i="3" s="1"/>
  <c r="D54" i="3"/>
  <c r="C54" i="3"/>
  <c r="B54" i="3"/>
  <c r="I53" i="3"/>
  <c r="E53" i="3"/>
  <c r="D53" i="3"/>
  <c r="C53" i="3"/>
  <c r="B53" i="3"/>
  <c r="E52" i="3"/>
  <c r="I52" i="3" s="1"/>
  <c r="D52" i="3"/>
  <c r="C52" i="3"/>
  <c r="B52" i="3"/>
  <c r="I51" i="3"/>
  <c r="E51" i="3"/>
  <c r="D51" i="3"/>
  <c r="C51" i="3"/>
  <c r="B51" i="3"/>
  <c r="P43" i="5"/>
  <c r="O43" i="5"/>
  <c r="P42" i="5"/>
  <c r="O42" i="5"/>
  <c r="P41" i="5"/>
  <c r="O41" i="5"/>
  <c r="P40" i="5"/>
  <c r="O40" i="5"/>
  <c r="P39" i="5"/>
  <c r="O39" i="5"/>
  <c r="P38" i="5"/>
  <c r="O38" i="5"/>
  <c r="P37" i="5"/>
  <c r="O37" i="5"/>
  <c r="P36" i="5"/>
  <c r="O36" i="5"/>
  <c r="P35" i="5"/>
  <c r="O35" i="5"/>
  <c r="P34" i="5"/>
  <c r="O34" i="5"/>
  <c r="P33" i="5"/>
  <c r="O33" i="5"/>
  <c r="P32" i="5"/>
  <c r="O32" i="5"/>
  <c r="P31" i="5"/>
  <c r="O31" i="5"/>
  <c r="P30" i="5"/>
  <c r="O30" i="5"/>
  <c r="P29" i="5"/>
  <c r="O29" i="5"/>
  <c r="P28" i="5"/>
  <c r="O28" i="5"/>
  <c r="P27" i="5"/>
  <c r="O27" i="5"/>
  <c r="P26" i="5"/>
  <c r="O26" i="5"/>
  <c r="P25" i="5"/>
  <c r="O25" i="5"/>
  <c r="P24" i="5"/>
  <c r="O24" i="5"/>
  <c r="G17" i="3" l="1"/>
  <c r="K37" i="10" l="1"/>
  <c r="K38" i="10"/>
  <c r="K39" i="10"/>
  <c r="K40" i="10"/>
  <c r="K41" i="10"/>
  <c r="K42" i="10"/>
  <c r="K43" i="10"/>
  <c r="K44" i="10"/>
  <c r="D4" i="10" l="1"/>
  <c r="E37" i="10" l="1"/>
  <c r="E38" i="10"/>
  <c r="E39" i="10"/>
  <c r="E40" i="10"/>
  <c r="E41" i="10"/>
  <c r="E42" i="10"/>
  <c r="E43" i="10"/>
  <c r="E44" i="10"/>
  <c r="F24" i="11" l="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M96" i="1" l="1"/>
  <c r="M79" i="1" s="1"/>
  <c r="M65" i="1" s="1"/>
  <c r="M55" i="1" s="1"/>
  <c r="F3" i="11" l="1"/>
  <c r="F2" i="11"/>
  <c r="H17" i="10" l="1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G15" i="10" l="1"/>
  <c r="G16" i="10"/>
  <c r="J18" i="10" l="1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17" i="10"/>
  <c r="M17" i="10"/>
  <c r="S17" i="10" s="1"/>
  <c r="M18" i="10"/>
  <c r="S18" i="10" s="1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T33" i="10"/>
  <c r="T34" i="10"/>
  <c r="T35" i="10"/>
  <c r="T36" i="10"/>
  <c r="T37" i="10"/>
  <c r="T38" i="10"/>
  <c r="T39" i="10"/>
  <c r="T40" i="10"/>
  <c r="T41" i="10"/>
  <c r="T42" i="10"/>
  <c r="T43" i="10"/>
  <c r="T44" i="10"/>
  <c r="T17" i="10"/>
  <c r="M19" i="10"/>
  <c r="S19" i="10" s="1"/>
  <c r="M20" i="10"/>
  <c r="S20" i="10" s="1"/>
  <c r="M21" i="10"/>
  <c r="S21" i="10" s="1"/>
  <c r="M22" i="10"/>
  <c r="S22" i="10" s="1"/>
  <c r="M23" i="10"/>
  <c r="S23" i="10" s="1"/>
  <c r="M24" i="10"/>
  <c r="S24" i="10" s="1"/>
  <c r="M25" i="10"/>
  <c r="S25" i="10" s="1"/>
  <c r="M26" i="10"/>
  <c r="S26" i="10" s="1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B17" i="10"/>
  <c r="K17" i="10" s="1"/>
  <c r="N40" i="10" l="1"/>
  <c r="U40" i="10" s="1"/>
  <c r="N43" i="10"/>
  <c r="U43" i="10" s="1"/>
  <c r="N38" i="10"/>
  <c r="U38" i="10" s="1"/>
  <c r="N42" i="10"/>
  <c r="U42" i="10" s="1"/>
  <c r="N41" i="10"/>
  <c r="U41" i="10" s="1"/>
  <c r="N39" i="10"/>
  <c r="U39" i="10" s="1"/>
  <c r="N37" i="10"/>
  <c r="U37" i="10" s="1"/>
  <c r="N44" i="10"/>
  <c r="U44" i="10" s="1"/>
  <c r="B18" i="10" l="1"/>
  <c r="K18" i="10" s="1"/>
  <c r="B19" i="10"/>
  <c r="K19" i="10" s="1"/>
  <c r="B20" i="10"/>
  <c r="K20" i="10" s="1"/>
  <c r="B21" i="10"/>
  <c r="K21" i="10" s="1"/>
  <c r="B22" i="10"/>
  <c r="K22" i="10" s="1"/>
  <c r="B23" i="10"/>
  <c r="K23" i="10" s="1"/>
  <c r="B24" i="10"/>
  <c r="K24" i="10" s="1"/>
  <c r="B25" i="10"/>
  <c r="K25" i="10" s="1"/>
  <c r="B26" i="10"/>
  <c r="K26" i="10" s="1"/>
  <c r="B27" i="10"/>
  <c r="K27" i="10" s="1"/>
  <c r="B28" i="10"/>
  <c r="K28" i="10" s="1"/>
  <c r="B29" i="10"/>
  <c r="K29" i="10" s="1"/>
  <c r="B30" i="10"/>
  <c r="K30" i="10" s="1"/>
  <c r="B31" i="10"/>
  <c r="K31" i="10" s="1"/>
  <c r="B32" i="10"/>
  <c r="K32" i="10" s="1"/>
  <c r="B33" i="10"/>
  <c r="K33" i="10" s="1"/>
  <c r="B34" i="10"/>
  <c r="K34" i="10" s="1"/>
  <c r="B35" i="10"/>
  <c r="K35" i="10" s="1"/>
  <c r="B36" i="10"/>
  <c r="K36" i="10" s="1"/>
  <c r="G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F17" i="10"/>
  <c r="D17" i="10"/>
  <c r="E36" i="10" l="1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C18" i="10"/>
  <c r="F5" i="11" s="1"/>
  <c r="C19" i="10"/>
  <c r="F6" i="11" s="1"/>
  <c r="C20" i="10"/>
  <c r="F7" i="11" s="1"/>
  <c r="C21" i="10"/>
  <c r="F8" i="11" s="1"/>
  <c r="C22" i="10"/>
  <c r="F9" i="11" s="1"/>
  <c r="C23" i="10"/>
  <c r="F10" i="11" s="1"/>
  <c r="C24" i="10"/>
  <c r="F11" i="11" s="1"/>
  <c r="C25" i="10"/>
  <c r="F12" i="11" s="1"/>
  <c r="C26" i="10"/>
  <c r="F13" i="11" s="1"/>
  <c r="C27" i="10"/>
  <c r="F14" i="11" s="1"/>
  <c r="C28" i="10"/>
  <c r="F15" i="11" s="1"/>
  <c r="C29" i="10"/>
  <c r="F16" i="11" s="1"/>
  <c r="C30" i="10"/>
  <c r="F17" i="11" s="1"/>
  <c r="C31" i="10"/>
  <c r="F18" i="11" s="1"/>
  <c r="C32" i="10"/>
  <c r="F19" i="11" s="1"/>
  <c r="C33" i="10"/>
  <c r="F20" i="11" s="1"/>
  <c r="C34" i="10"/>
  <c r="F21" i="11" s="1"/>
  <c r="C35" i="10"/>
  <c r="F22" i="11" s="1"/>
  <c r="C36" i="10"/>
  <c r="F23" i="11" s="1"/>
  <c r="C17" i="10"/>
  <c r="F4" i="11" s="1"/>
  <c r="P47" i="10" l="1"/>
  <c r="N36" i="10"/>
  <c r="U36" i="10" s="1"/>
  <c r="N35" i="10"/>
  <c r="U35" i="10" s="1"/>
  <c r="N34" i="10"/>
  <c r="U34" i="10" s="1"/>
  <c r="N33" i="10"/>
  <c r="U33" i="10" s="1"/>
  <c r="N32" i="10"/>
  <c r="U32" i="10" s="1"/>
  <c r="N31" i="10"/>
  <c r="U31" i="10" s="1"/>
  <c r="N30" i="10"/>
  <c r="U30" i="10" s="1"/>
  <c r="N29" i="10"/>
  <c r="U29" i="10" s="1"/>
  <c r="N28" i="10"/>
  <c r="U28" i="10" s="1"/>
  <c r="N27" i="10"/>
  <c r="U27" i="10" s="1"/>
  <c r="N26" i="10"/>
  <c r="U26" i="10" s="1"/>
  <c r="N25" i="10"/>
  <c r="U25" i="10" s="1"/>
  <c r="N24" i="10"/>
  <c r="U24" i="10" s="1"/>
  <c r="N23" i="10"/>
  <c r="U23" i="10" s="1"/>
  <c r="N22" i="10"/>
  <c r="U22" i="10" s="1"/>
  <c r="N21" i="10"/>
  <c r="U21" i="10" s="1"/>
  <c r="N20" i="10"/>
  <c r="U20" i="10" s="1"/>
  <c r="N19" i="10"/>
  <c r="U19" i="10" s="1"/>
  <c r="N18" i="10"/>
  <c r="U18" i="10" s="1"/>
  <c r="N17" i="10"/>
  <c r="U17" i="10" s="1"/>
  <c r="H6" i="10"/>
  <c r="D5" i="10"/>
  <c r="Q43" i="5"/>
  <c r="Q42" i="5"/>
  <c r="Q41" i="5"/>
  <c r="Q40" i="5"/>
  <c r="Q39" i="5"/>
  <c r="Q38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P23" i="5"/>
  <c r="O23" i="5"/>
  <c r="K2" i="5"/>
  <c r="F73" i="3"/>
  <c r="I19" i="3" s="1"/>
  <c r="H19" i="3" s="1"/>
  <c r="J70" i="3"/>
  <c r="C23" i="11"/>
  <c r="J69" i="3"/>
  <c r="C22" i="11"/>
  <c r="J68" i="3"/>
  <c r="C21" i="11"/>
  <c r="J67" i="3"/>
  <c r="C20" i="11"/>
  <c r="J66" i="3"/>
  <c r="C19" i="11"/>
  <c r="J65" i="3"/>
  <c r="C18" i="11"/>
  <c r="J64" i="3"/>
  <c r="C17" i="11"/>
  <c r="J63" i="3"/>
  <c r="C16" i="11"/>
  <c r="J62" i="3"/>
  <c r="C15" i="11"/>
  <c r="J61" i="3"/>
  <c r="C14" i="11"/>
  <c r="J60" i="3"/>
  <c r="C13" i="11"/>
  <c r="J59" i="3"/>
  <c r="J58" i="3"/>
  <c r="C11" i="11"/>
  <c r="Q24" i="10"/>
  <c r="J57" i="3"/>
  <c r="J56" i="3"/>
  <c r="C9" i="11"/>
  <c r="Q22" i="10"/>
  <c r="J55" i="3"/>
  <c r="Q21" i="10"/>
  <c r="J54" i="3"/>
  <c r="C7" i="11"/>
  <c r="Q20" i="10"/>
  <c r="J53" i="3"/>
  <c r="Q19" i="10"/>
  <c r="J52" i="3"/>
  <c r="C5" i="11"/>
  <c r="Q18" i="10"/>
  <c r="J51" i="3"/>
  <c r="D34" i="3"/>
  <c r="A34" i="3"/>
  <c r="G33" i="3"/>
  <c r="F33" i="3"/>
  <c r="G32" i="3"/>
  <c r="F32" i="3"/>
  <c r="G31" i="3"/>
  <c r="F31" i="3"/>
  <c r="G30" i="3"/>
  <c r="F30" i="3"/>
  <c r="G29" i="3"/>
  <c r="F29" i="3"/>
  <c r="G28" i="3"/>
  <c r="F28" i="3"/>
  <c r="G27" i="3"/>
  <c r="F27" i="3"/>
  <c r="D27" i="3"/>
  <c r="G26" i="3"/>
  <c r="F26" i="3"/>
  <c r="D26" i="3"/>
  <c r="D25" i="3"/>
  <c r="D24" i="3"/>
  <c r="H21" i="3"/>
  <c r="F17" i="3"/>
  <c r="H8" i="10" s="1"/>
  <c r="M5" i="2"/>
  <c r="M16" i="10" l="1"/>
  <c r="N16" i="10" s="1"/>
  <c r="C3" i="11"/>
  <c r="D6" i="10"/>
  <c r="H7" i="10" s="1"/>
  <c r="D7" i="10"/>
  <c r="L9" i="10" s="1"/>
  <c r="H4" i="10"/>
  <c r="D8" i="10"/>
  <c r="I20" i="3"/>
  <c r="D21" i="3"/>
  <c r="D20" i="3"/>
  <c r="D19" i="3"/>
  <c r="O44" i="5"/>
  <c r="D28" i="3" s="1"/>
  <c r="E71" i="3"/>
  <c r="D31" i="3" s="1"/>
  <c r="P44" i="5"/>
  <c r="D29" i="3" s="1"/>
  <c r="A5" i="11"/>
  <c r="A10" i="11"/>
  <c r="R17" i="10"/>
  <c r="Q17" i="10"/>
  <c r="A8" i="11"/>
  <c r="A11" i="11"/>
  <c r="A6" i="11"/>
  <c r="A9" i="11"/>
  <c r="A4" i="11"/>
  <c r="A7" i="11"/>
  <c r="A12" i="11"/>
  <c r="C6" i="11"/>
  <c r="C8" i="11"/>
  <c r="C10" i="11"/>
  <c r="C12" i="11"/>
  <c r="R23" i="10"/>
  <c r="A13" i="11"/>
  <c r="Q31" i="10"/>
  <c r="R31" i="10"/>
  <c r="Q33" i="10"/>
  <c r="R33" i="10"/>
  <c r="Q35" i="10"/>
  <c r="R35" i="10"/>
  <c r="H5" i="10"/>
  <c r="Q23" i="10"/>
  <c r="R21" i="10"/>
  <c r="A15" i="11"/>
  <c r="Q29" i="10"/>
  <c r="R29" i="10"/>
  <c r="A17" i="11"/>
  <c r="A19" i="11"/>
  <c r="A21" i="11"/>
  <c r="A23" i="11"/>
  <c r="R19" i="10"/>
  <c r="Q25" i="10"/>
  <c r="R25" i="10"/>
  <c r="Q27" i="10"/>
  <c r="R27" i="10"/>
  <c r="R18" i="10"/>
  <c r="R20" i="10"/>
  <c r="R22" i="10"/>
  <c r="R24" i="10"/>
  <c r="Q26" i="10"/>
  <c r="R26" i="10"/>
  <c r="A14" i="11"/>
  <c r="Q28" i="10"/>
  <c r="R28" i="10"/>
  <c r="A16" i="11"/>
  <c r="Q30" i="10"/>
  <c r="R30" i="10"/>
  <c r="A18" i="11"/>
  <c r="Q32" i="10"/>
  <c r="R32" i="10"/>
  <c r="A20" i="11"/>
  <c r="Q34" i="10"/>
  <c r="R34" i="10"/>
  <c r="A22" i="11"/>
  <c r="Q36" i="10"/>
  <c r="R36" i="10"/>
  <c r="E17" i="10" l="1"/>
  <c r="B4" i="11" s="1"/>
  <c r="E18" i="10"/>
  <c r="B5" i="11" s="1"/>
  <c r="B9" i="11"/>
  <c r="B17" i="11"/>
  <c r="B23" i="11"/>
  <c r="B10" i="11"/>
  <c r="B18" i="11"/>
  <c r="B21" i="11"/>
  <c r="B11" i="11"/>
  <c r="B19" i="11"/>
  <c r="B13" i="11"/>
  <c r="B7" i="11"/>
  <c r="B8" i="11"/>
  <c r="B12" i="11"/>
  <c r="B20" i="11"/>
  <c r="B6" i="11"/>
  <c r="B14" i="11"/>
  <c r="B22" i="11"/>
  <c r="B16" i="11"/>
  <c r="B15" i="11"/>
  <c r="D30" i="3"/>
  <c r="D32" i="3" s="1"/>
  <c r="I26" i="3"/>
  <c r="A1" i="6"/>
  <c r="A3" i="6" s="1"/>
  <c r="E22" i="11"/>
  <c r="D22" i="11"/>
  <c r="E21" i="11"/>
  <c r="D21" i="11"/>
  <c r="C4" i="11"/>
  <c r="P46" i="10"/>
  <c r="E13" i="11"/>
  <c r="D13" i="11"/>
  <c r="D7" i="11"/>
  <c r="E7" i="11"/>
  <c r="E10" i="11"/>
  <c r="D10" i="11"/>
  <c r="D23" i="11"/>
  <c r="E23" i="11"/>
  <c r="D15" i="11"/>
  <c r="E15" i="11"/>
  <c r="E12" i="11"/>
  <c r="D12" i="11"/>
  <c r="E4" i="11"/>
  <c r="D4" i="11"/>
  <c r="E8" i="11"/>
  <c r="D8" i="11"/>
  <c r="E5" i="11"/>
  <c r="D5" i="11"/>
  <c r="E17" i="11"/>
  <c r="D17" i="11"/>
  <c r="E6" i="11"/>
  <c r="D6" i="11"/>
  <c r="D11" i="11"/>
  <c r="E11" i="11"/>
  <c r="E20" i="11"/>
  <c r="D20" i="11"/>
  <c r="E18" i="11"/>
  <c r="D18" i="11"/>
  <c r="E16" i="11"/>
  <c r="D16" i="11"/>
  <c r="E14" i="11"/>
  <c r="D14" i="11"/>
  <c r="D19" i="11"/>
  <c r="E19" i="11"/>
  <c r="E9" i="11"/>
  <c r="D9" i="11"/>
  <c r="P49" i="10" l="1"/>
  <c r="P52" i="10"/>
  <c r="D33" i="3"/>
  <c r="P48" i="10"/>
  <c r="A5" i="6"/>
  <c r="B3" i="6"/>
  <c r="C2" i="11" l="1"/>
  <c r="P54" i="10"/>
  <c r="P56" i="10" s="1"/>
  <c r="M15" i="10"/>
  <c r="C3" i="6"/>
  <c r="B5" i="6" s="1"/>
  <c r="N15" i="10" l="1"/>
  <c r="P53" i="10"/>
  <c r="C5" i="6"/>
  <c r="A9" i="6" s="1"/>
  <c r="D3" i="6"/>
  <c r="E3" i="6" s="1"/>
  <c r="D5" i="6" l="1"/>
  <c r="F3" i="6"/>
  <c r="E5" i="6" l="1"/>
  <c r="F5" i="6" s="1"/>
  <c r="G3" i="6"/>
  <c r="G5" i="6" s="1"/>
  <c r="A8" i="6" l="1"/>
  <c r="A10" i="6"/>
  <c r="H3" i="6"/>
  <c r="H5" i="6" s="1"/>
  <c r="B8" i="6" s="1"/>
  <c r="I11" i="3" s="1"/>
  <c r="F11" i="3" l="1"/>
  <c r="H10" i="3"/>
  <c r="A7" i="6"/>
  <c r="F34" i="3" s="1"/>
</calcChain>
</file>

<file path=xl/sharedStrings.xml><?xml version="1.0" encoding="utf-8"?>
<sst xmlns="http://schemas.openxmlformats.org/spreadsheetml/2006/main" count="3359" uniqueCount="1957">
  <si>
    <t>1.</t>
  </si>
  <si>
    <t>2.</t>
  </si>
  <si>
    <t>3.</t>
  </si>
  <si>
    <t>Дебет</t>
  </si>
  <si>
    <t>Кредит</t>
  </si>
  <si>
    <t>Валюта</t>
  </si>
  <si>
    <t>UAH</t>
  </si>
  <si>
    <t>USD</t>
  </si>
  <si>
    <t>EUR</t>
  </si>
  <si>
    <t>RUB</t>
  </si>
  <si>
    <t>CHF</t>
  </si>
  <si>
    <t>Дата документа</t>
  </si>
  <si>
    <t>Бухгалтер</t>
  </si>
  <si>
    <t>4.</t>
  </si>
  <si>
    <t>№ п/п</t>
  </si>
  <si>
    <t>сто</t>
  </si>
  <si>
    <t>десять</t>
  </si>
  <si>
    <t>триста</t>
  </si>
  <si>
    <t>три</t>
  </si>
  <si>
    <t>сорок</t>
  </si>
  <si>
    <t>Инструкция для заполнения авансового отчета</t>
  </si>
  <si>
    <t>ЗАПОЛНЯТЬ НЕОБХОДИМО ТОЛЬКО ПОЛЯ, ВЫДЕЛЕННЫЕ ЖЕЛТЫМ ЦВЕТОМ</t>
  </si>
  <si>
    <t>Внесение данных по авансовому отчету осуществляется на листе "Форма для заполнения".</t>
  </si>
  <si>
    <t>Пример заполнения</t>
  </si>
  <si>
    <t>Вид расходов</t>
  </si>
  <si>
    <t>Комментарии</t>
  </si>
  <si>
    <t>Счет бухгалтерского учета</t>
  </si>
  <si>
    <t>Назначение аванса</t>
  </si>
  <si>
    <t>Количество</t>
  </si>
  <si>
    <t>Сумма</t>
  </si>
  <si>
    <t>Налоговые или не налоговые</t>
  </si>
  <si>
    <t>Получено от кого</t>
  </si>
  <si>
    <t>НДС</t>
  </si>
  <si>
    <t>Представительские расходы</t>
  </si>
  <si>
    <t>Интернет</t>
  </si>
  <si>
    <t>Налоговые расходы</t>
  </si>
  <si>
    <t>Не налоговые расходы</t>
  </si>
  <si>
    <t>Перечислены на карточку</t>
  </si>
  <si>
    <t>С НДС</t>
  </si>
  <si>
    <t>Без НДС</t>
  </si>
  <si>
    <t>Регистрационный №</t>
  </si>
  <si>
    <t>Дата авансового отчета</t>
  </si>
  <si>
    <t>Получено, руб</t>
  </si>
  <si>
    <t>НДС, %</t>
  </si>
  <si>
    <t>двести</t>
  </si>
  <si>
    <t>четыреста</t>
  </si>
  <si>
    <t>пятьсот</t>
  </si>
  <si>
    <t>шестьсот</t>
  </si>
  <si>
    <t>семьсот</t>
  </si>
  <si>
    <t>восемьсот</t>
  </si>
  <si>
    <t>девятьсот</t>
  </si>
  <si>
    <t>двадцать</t>
  </si>
  <si>
    <t>тридцать</t>
  </si>
  <si>
    <t>пятьдесят</t>
  </si>
  <si>
    <t>шестьдесят</t>
  </si>
  <si>
    <t>семьдесят</t>
  </si>
  <si>
    <t>восемьдесят</t>
  </si>
  <si>
    <t>девяносто</t>
  </si>
  <si>
    <t>одиннадцать</t>
  </si>
  <si>
    <t>двенадцать</t>
  </si>
  <si>
    <t>тринадцать</t>
  </si>
  <si>
    <t>четырнадцать</t>
  </si>
  <si>
    <t>пятнадцать</t>
  </si>
  <si>
    <t>шестнадцать</t>
  </si>
  <si>
    <t>семнадцать</t>
  </si>
  <si>
    <t>восемнадцать</t>
  </si>
  <si>
    <t>девятнадцать</t>
  </si>
  <si>
    <t>четыре</t>
  </si>
  <si>
    <t>пять</t>
  </si>
  <si>
    <t>шесть</t>
  </si>
  <si>
    <t>семь</t>
  </si>
  <si>
    <t>восемь</t>
  </si>
  <si>
    <t>девять</t>
  </si>
  <si>
    <t>Остаток предыдущего аванса</t>
  </si>
  <si>
    <t>Перерасход</t>
  </si>
  <si>
    <t>ООО "Байерсдорф"</t>
  </si>
  <si>
    <t>наименование организации</t>
  </si>
  <si>
    <t>УТВЕРЖДАЮ</t>
  </si>
  <si>
    <t>Отчет в сумме</t>
  </si>
  <si>
    <t xml:space="preserve"> </t>
  </si>
  <si>
    <t>коп</t>
  </si>
  <si>
    <t>Руководитель</t>
  </si>
  <si>
    <t>подпись</t>
  </si>
  <si>
    <t>расшифровка подписи</t>
  </si>
  <si>
    <t>"        "</t>
  </si>
  <si>
    <t>Номер</t>
  </si>
  <si>
    <t>Дата</t>
  </si>
  <si>
    <t>АВАНСОВЫЙ  ОТЧЕТ</t>
  </si>
  <si>
    <t>Код</t>
  </si>
  <si>
    <t>Структурное подразделение</t>
  </si>
  <si>
    <t>Подотчетное лицо</t>
  </si>
  <si>
    <t>Табельный номер</t>
  </si>
  <si>
    <t>Профессия (должность)</t>
  </si>
  <si>
    <t>Наименование показателя</t>
  </si>
  <si>
    <t>Сумма, руб коп</t>
  </si>
  <si>
    <t>Бухгалтерская запись</t>
  </si>
  <si>
    <t>Предыдущий</t>
  </si>
  <si>
    <t>остаток</t>
  </si>
  <si>
    <t>аванс</t>
  </si>
  <si>
    <t>перерасход</t>
  </si>
  <si>
    <t>счет, субсч</t>
  </si>
  <si>
    <t>сумма, руб</t>
  </si>
  <si>
    <t>71-01</t>
  </si>
  <si>
    <t>Итого получено</t>
  </si>
  <si>
    <t>Израсходовано</t>
  </si>
  <si>
    <t>Остаток</t>
  </si>
  <si>
    <t>документов</t>
  </si>
  <si>
    <t>сумма прописью</t>
  </si>
  <si>
    <t>Главный бухгалтер</t>
  </si>
  <si>
    <t>Лагуткина Е.А.</t>
  </si>
  <si>
    <t>Тюханова Л.А.</t>
  </si>
  <si>
    <t>Номер
по порядку</t>
  </si>
  <si>
    <t>Документ, подтверждающий производственные расходы</t>
  </si>
  <si>
    <t>Наименование документа
(расхода)</t>
  </si>
  <si>
    <t>Сумма расхода</t>
  </si>
  <si>
    <t>Дебет счета, субсчета</t>
  </si>
  <si>
    <t>по отчету</t>
  </si>
  <si>
    <t>принятая к учету</t>
  </si>
  <si>
    <t>дата</t>
  </si>
  <si>
    <t>номер</t>
  </si>
  <si>
    <t>в руб. коп.</t>
  </si>
  <si>
    <t>в валюте</t>
  </si>
  <si>
    <t>Итого</t>
  </si>
  <si>
    <t>Номер документа</t>
  </si>
  <si>
    <t>Способ получения денежных средств (выбрать из списка)</t>
  </si>
  <si>
    <t>Суточные по России</t>
  </si>
  <si>
    <t>Суточные с/норм</t>
  </si>
  <si>
    <t>Авиа билет</t>
  </si>
  <si>
    <t>Ж/д билет</t>
  </si>
  <si>
    <t xml:space="preserve">Гостиница </t>
  </si>
  <si>
    <t>Завтраки в гостинице</t>
  </si>
  <si>
    <t>Парковка</t>
  </si>
  <si>
    <t>Такси</t>
  </si>
  <si>
    <t>Аэроэкспресс</t>
  </si>
  <si>
    <t>Виза</t>
  </si>
  <si>
    <t>Образцы продукции</t>
  </si>
  <si>
    <t>Обслуживание а/м</t>
  </si>
  <si>
    <t>Бумага</t>
  </si>
  <si>
    <t>Картриджи</t>
  </si>
  <si>
    <t>Канцтовары</t>
  </si>
  <si>
    <t>Подарок</t>
  </si>
  <si>
    <t>Цветы</t>
  </si>
  <si>
    <t>Шары</t>
  </si>
  <si>
    <t>Конфеты</t>
  </si>
  <si>
    <t>Прочие офисные расходы</t>
  </si>
  <si>
    <t>Суточные за границу</t>
  </si>
  <si>
    <t>Нет подтверждающего документа</t>
  </si>
  <si>
    <t>Нет подтв.</t>
  </si>
  <si>
    <t>Курс валюты</t>
  </si>
  <si>
    <t>Валюта 
(если не рубли)</t>
  </si>
  <si>
    <t>Почтовые расходы</t>
  </si>
  <si>
    <r>
      <t xml:space="preserve">Количество, дней (для суточных), шт.
</t>
    </r>
    <r>
      <rPr>
        <b/>
        <sz val="10"/>
        <color rgb="FFFF0000"/>
        <rFont val="Times New Roman"/>
        <family val="1"/>
        <charset val="204"/>
      </rPr>
      <t>или</t>
    </r>
    <r>
      <rPr>
        <b/>
        <sz val="10"/>
        <rFont val="Times New Roman"/>
        <family val="1"/>
        <charset val="204"/>
      </rPr>
      <t xml:space="preserve">
Отсутствие подтверждающих документов</t>
    </r>
  </si>
  <si>
    <t>Цена за единицу</t>
  </si>
  <si>
    <t>Счет</t>
  </si>
  <si>
    <t>Счета (нет подтв.док.)</t>
  </si>
  <si>
    <t>одна</t>
  </si>
  <si>
    <t>Андреева Я.</t>
  </si>
  <si>
    <t>Финансовый департамент</t>
  </si>
  <si>
    <t>Андронова А.</t>
  </si>
  <si>
    <t>Ахметов С.</t>
  </si>
  <si>
    <t>Бажатков П.</t>
  </si>
  <si>
    <t>Бандюкова А.</t>
  </si>
  <si>
    <t>Белоусова О.</t>
  </si>
  <si>
    <t>Беляева В.</t>
  </si>
  <si>
    <t>Васильева И.</t>
  </si>
  <si>
    <t>Вечкаева А.</t>
  </si>
  <si>
    <t>Вилкова М.</t>
  </si>
  <si>
    <t>Воронина А.</t>
  </si>
  <si>
    <t>Гоголашвили Л.</t>
  </si>
  <si>
    <t>Горячева А.</t>
  </si>
  <si>
    <t>Грассе В.</t>
  </si>
  <si>
    <t>Губанова Е.</t>
  </si>
  <si>
    <t>Гурин Н.</t>
  </si>
  <si>
    <t>Аналитик отдела планирования и анализа продаж</t>
  </si>
  <si>
    <t>Дмитриев Р.</t>
  </si>
  <si>
    <t>Дронова Е.</t>
  </si>
  <si>
    <t>Жукова О.</t>
  </si>
  <si>
    <t>Зайнулина Е.</t>
  </si>
  <si>
    <t>Земцовская Е.</t>
  </si>
  <si>
    <t>Калашников Д.</t>
  </si>
  <si>
    <t>Карасев С.</t>
  </si>
  <si>
    <t>Катунова А.</t>
  </si>
  <si>
    <t>Кедровская Н.</t>
  </si>
  <si>
    <t>Ким А.</t>
  </si>
  <si>
    <t>Коблова А.</t>
  </si>
  <si>
    <t>Ковалева Е.</t>
  </si>
  <si>
    <t>Козьменко А.</t>
  </si>
  <si>
    <t>Кондрашова Е.</t>
  </si>
  <si>
    <t>Коновалова Ю.</t>
  </si>
  <si>
    <t>Кочеткова А.</t>
  </si>
  <si>
    <t>Красноперов А.</t>
  </si>
  <si>
    <t>Кузнецов И.</t>
  </si>
  <si>
    <t>Лагуткина Е.</t>
  </si>
  <si>
    <t>Лазаренко И.</t>
  </si>
  <si>
    <t>Департамент маркетинга</t>
  </si>
  <si>
    <t>Луконин М.</t>
  </si>
  <si>
    <t>Лукьянова Я.</t>
  </si>
  <si>
    <t>Люднова Ю.</t>
  </si>
  <si>
    <t>Малеева Т.</t>
  </si>
  <si>
    <t>Метельков С.</t>
  </si>
  <si>
    <t>Миронова А.</t>
  </si>
  <si>
    <t>Миронова Н.</t>
  </si>
  <si>
    <t>Михальченко Л.</t>
  </si>
  <si>
    <t>Мурашкин В.</t>
  </si>
  <si>
    <t>Низамутдинова Л.</t>
  </si>
  <si>
    <t>Носиков С.</t>
  </si>
  <si>
    <t>Огнева Е.</t>
  </si>
  <si>
    <t>Огородников М.</t>
  </si>
  <si>
    <t>Осташева О.</t>
  </si>
  <si>
    <t>Панченко С.</t>
  </si>
  <si>
    <t>Петещенкова И.</t>
  </si>
  <si>
    <t>Поклад С.</t>
  </si>
  <si>
    <t>Полякова Т.</t>
  </si>
  <si>
    <t>Пономарев Р.</t>
  </si>
  <si>
    <t>Ремпель Ю.</t>
  </si>
  <si>
    <t>Родина О.</t>
  </si>
  <si>
    <t>Романов М.</t>
  </si>
  <si>
    <t>Русанова О.</t>
  </si>
  <si>
    <t>Рыбчинская Т.</t>
  </si>
  <si>
    <t>Савченко В.</t>
  </si>
  <si>
    <t>Скрипкина О.</t>
  </si>
  <si>
    <t>Соловьева О.</t>
  </si>
  <si>
    <t>Спиридонова Я.</t>
  </si>
  <si>
    <t>Степанычев А.</t>
  </si>
  <si>
    <t>Стрелкова Е.</t>
  </si>
  <si>
    <t>Суханова О.</t>
  </si>
  <si>
    <t>Темицкий Я.</t>
  </si>
  <si>
    <t>Тетерина Л.</t>
  </si>
  <si>
    <t>Трепакова Т.</t>
  </si>
  <si>
    <t>Тростонецкий И.</t>
  </si>
  <si>
    <t>Трясцына А.</t>
  </si>
  <si>
    <t>Тюханова Л.</t>
  </si>
  <si>
    <t>Усенова В.</t>
  </si>
  <si>
    <t>Федорков Д.</t>
  </si>
  <si>
    <t>Филатов А.</t>
  </si>
  <si>
    <t>Филимонова Е.</t>
  </si>
  <si>
    <t>Фролов С.</t>
  </si>
  <si>
    <t>Хаустова Е.</t>
  </si>
  <si>
    <t>Ходжибекова Г.</t>
  </si>
  <si>
    <t>Царева Е.</t>
  </si>
  <si>
    <t>Шелудько А.</t>
  </si>
  <si>
    <t>Территориальный менеджер/ Пермь</t>
  </si>
  <si>
    <t>Юридический отдел</t>
  </si>
  <si>
    <t>Юрист</t>
  </si>
  <si>
    <t>Координатор по работе с ключевыми клиентами</t>
  </si>
  <si>
    <t>Младший аналитик отдела планирования и анализа продаж</t>
  </si>
  <si>
    <t>Департамент логистики</t>
  </si>
  <si>
    <t>Специалист по работе с клиентами</t>
  </si>
  <si>
    <t>Специалист по планированию поставок</t>
  </si>
  <si>
    <t>Региональный менеджер по продажам / Урал</t>
  </si>
  <si>
    <t>Младший менеджер по продукту</t>
  </si>
  <si>
    <t>Старший специалист по работе со складом</t>
  </si>
  <si>
    <t>Менеджер по продукту</t>
  </si>
  <si>
    <t>Бизнес-контролер</t>
  </si>
  <si>
    <t>Региональный менеджер по продажам/ Дальний Восток</t>
  </si>
  <si>
    <t>Старший менеджер по работе с ключевыми клиентами/ Санкт-Петербург</t>
  </si>
  <si>
    <t>Менеджер по персоналу</t>
  </si>
  <si>
    <t>Менеджер по работе с ключевыми клиентами</t>
  </si>
  <si>
    <t>Финансовый контролер</t>
  </si>
  <si>
    <t>Территориальный менеджер/ Тюмень</t>
  </si>
  <si>
    <t>Дирекция</t>
  </si>
  <si>
    <t>Специалист по закупкам</t>
  </si>
  <si>
    <t>Территориальный менеджер/ Краснодар</t>
  </si>
  <si>
    <t>Территориальный менеджер/ Нижний Новгород</t>
  </si>
  <si>
    <t>Заместитель главного бухгалтера</t>
  </si>
  <si>
    <t>Территориальный менеджер/ Москва</t>
  </si>
  <si>
    <t>Менеджер по торговому маркетингу</t>
  </si>
  <si>
    <t>Руководитель юридического отдела</t>
  </si>
  <si>
    <t>Менеджер по транспорту</t>
  </si>
  <si>
    <t>Территориальный менеджер/ Красноярск</t>
  </si>
  <si>
    <t>Территориальный менеджер/ Иркутск</t>
  </si>
  <si>
    <t>Территориальный менеджер/ Челябинск</t>
  </si>
  <si>
    <t>Территориальный менеджер/ Санкт-Петербург</t>
  </si>
  <si>
    <t>Старший специалист по работе с клиентами</t>
  </si>
  <si>
    <t>Старший менеджер по продукту</t>
  </si>
  <si>
    <t>Специалист по планированию и прогнозированию</t>
  </si>
  <si>
    <t>Региональный менеджер по работе с ключевыми клиентами/ Москва</t>
  </si>
  <si>
    <t>Территориальный менеджер/ Калининград</t>
  </si>
  <si>
    <t>Территориальный менеджер/ Тула</t>
  </si>
  <si>
    <t>Территориальный менеджер/ Томск</t>
  </si>
  <si>
    <t>Территориальный менеджер/ Новосибирск</t>
  </si>
  <si>
    <t>Территориальный менеджер/ Брянск</t>
  </si>
  <si>
    <t>Территориальный менеджер/ Барнаул</t>
  </si>
  <si>
    <t>Территориальный менеджер / Екатеринбург</t>
  </si>
  <si>
    <t>Финансовый директор</t>
  </si>
  <si>
    <t>Территориальный менеджер/ Хабаровск</t>
  </si>
  <si>
    <t>Руководитель отдела торгового маркетинга</t>
  </si>
  <si>
    <t>Менеджер по защите товарных знаков</t>
  </si>
  <si>
    <t>Директор департамента маркетинга</t>
  </si>
  <si>
    <t>Территориальный менеджер/ Самара</t>
  </si>
  <si>
    <t>Персональный ассистент</t>
  </si>
  <si>
    <t>Территориальный менеджер/ Кемерово</t>
  </si>
  <si>
    <t>Количество документов</t>
  </si>
  <si>
    <t>Количество листов</t>
  </si>
  <si>
    <t>ФИО
(выбрать из списка)</t>
  </si>
  <si>
    <t>Перерасход предыдущего аванса</t>
  </si>
  <si>
    <t>Верхняя часть листа:</t>
  </si>
  <si>
    <t>Нижняя (основная) часть листа:</t>
  </si>
  <si>
    <t>два</t>
  </si>
  <si>
    <t xml:space="preserve">Получен аванс </t>
  </si>
  <si>
    <t>1. Из кассы</t>
  </si>
  <si>
    <t>2. На карту</t>
  </si>
  <si>
    <t>3. А/б, ж/б</t>
  </si>
  <si>
    <t>4. Гостиница</t>
  </si>
  <si>
    <r>
      <t>В графе "</t>
    </r>
    <r>
      <rPr>
        <b/>
        <sz val="10"/>
        <rFont val="Arial Cyr"/>
        <charset val="204"/>
      </rPr>
      <t>Дата документа</t>
    </r>
    <r>
      <rPr>
        <sz val="10"/>
        <rFont val="Arial Cyr"/>
        <charset val="204"/>
      </rPr>
      <t>" укажите дату платежного документа или дату приказа (для суточных).</t>
    </r>
  </si>
  <si>
    <r>
      <t>В графе "</t>
    </r>
    <r>
      <rPr>
        <b/>
        <sz val="10"/>
        <rFont val="Arial Cyr"/>
        <charset val="204"/>
      </rPr>
      <t>Номер документа</t>
    </r>
    <r>
      <rPr>
        <sz val="10"/>
        <rFont val="Arial Cyr"/>
        <charset val="204"/>
      </rPr>
      <t>" укажите номер платежного документа или номер приказа (для суточных).</t>
    </r>
  </si>
  <si>
    <r>
      <t>В графе "</t>
    </r>
    <r>
      <rPr>
        <b/>
        <sz val="10"/>
        <rFont val="Arial Cyr"/>
        <charset val="204"/>
      </rPr>
      <t>Валюта</t>
    </r>
    <r>
      <rPr>
        <sz val="10"/>
        <rFont val="Arial Cyr"/>
        <charset val="204"/>
      </rPr>
      <t>" из ниспадающего списка выберите валюту, в которой были осуществлены расходы, если затраты производились не в рублях. Если в ниспадающем списке отсутствует валюта - напечатайте необходимую валюту вручную.</t>
    </r>
  </si>
  <si>
    <r>
      <t>В графе "</t>
    </r>
    <r>
      <rPr>
        <b/>
        <sz val="10"/>
        <rFont val="Arial Cyr"/>
        <charset val="204"/>
      </rPr>
      <t>Цена за единицу</t>
    </r>
    <r>
      <rPr>
        <sz val="10"/>
        <rFont val="Arial Cyr"/>
        <charset val="204"/>
      </rPr>
      <t>" укажите сумму затрат на единицу товара (услуги). Если выбран вид расходов "</t>
    </r>
    <r>
      <rPr>
        <b/>
        <sz val="10"/>
        <rFont val="Arial Cyr"/>
        <charset val="204"/>
      </rPr>
      <t>Суточные</t>
    </r>
    <r>
      <rPr>
        <sz val="10"/>
        <rFont val="Arial Cyr"/>
        <charset val="204"/>
      </rPr>
      <t>", данная графа заполняется автоматически.</t>
    </r>
  </si>
  <si>
    <t>Нестандартный счет бухгалтерского учета</t>
  </si>
  <si>
    <t>Платная дорога</t>
  </si>
  <si>
    <t/>
  </si>
  <si>
    <t>878</t>
  </si>
  <si>
    <t>Ком-ка в Польшу</t>
  </si>
  <si>
    <t>471/2015-к</t>
  </si>
  <si>
    <t>Польша 06-09/07/15</t>
  </si>
  <si>
    <t>080 9233825748</t>
  </si>
  <si>
    <t>Москва-Варшава-Москва 06-09/07/15</t>
  </si>
  <si>
    <t>519520957708</t>
  </si>
  <si>
    <t>Варшава-Люблин 07/07/15</t>
  </si>
  <si>
    <t>514520959907</t>
  </si>
  <si>
    <t>Люблин-Варшава 09/07/15</t>
  </si>
  <si>
    <t>924822</t>
  </si>
  <si>
    <t>Варшава 06-07/07/15</t>
  </si>
  <si>
    <t>3576</t>
  </si>
  <si>
    <t>Люблин 07-09/07/15</t>
  </si>
  <si>
    <t>06-09/07/15</t>
  </si>
  <si>
    <t>187385, 1253, 7988, 8313</t>
  </si>
  <si>
    <t>3838</t>
  </si>
  <si>
    <t>Отдел</t>
  </si>
  <si>
    <t>Должность</t>
  </si>
  <si>
    <t>Территориальный менеджер/ Улан-Удэ</t>
  </si>
  <si>
    <t>Прибыль</t>
  </si>
  <si>
    <t>Прочие представительские расходы</t>
  </si>
  <si>
    <t>Безменов А.</t>
  </si>
  <si>
    <t>Быкова И.</t>
  </si>
  <si>
    <t>Власова Н.</t>
  </si>
  <si>
    <t>Гнатенко И.</t>
  </si>
  <si>
    <t>Горбулева И.</t>
  </si>
  <si>
    <t>Данилов Д.</t>
  </si>
  <si>
    <t>Ельцов И.</t>
  </si>
  <si>
    <t>Зюзина А.</t>
  </si>
  <si>
    <t>Иванова А.</t>
  </si>
  <si>
    <t>Иванова Е.</t>
  </si>
  <si>
    <t>Казакова Р.</t>
  </si>
  <si>
    <t>Карпухина Я.</t>
  </si>
  <si>
    <t>Козловская С.</t>
  </si>
  <si>
    <t>Ларина О.</t>
  </si>
  <si>
    <t>Липина И.</t>
  </si>
  <si>
    <t>Перетокина М.</t>
  </si>
  <si>
    <t>Петренко Р.</t>
  </si>
  <si>
    <t>Платов Д.</t>
  </si>
  <si>
    <t>Плотникова О.</t>
  </si>
  <si>
    <t>Полищук Г.</t>
  </si>
  <si>
    <t>Решетникова Н.</t>
  </si>
  <si>
    <t>Рыжиков В.</t>
  </si>
  <si>
    <t>Салихова Е.</t>
  </si>
  <si>
    <t>Сапунова Е.</t>
  </si>
  <si>
    <t>Слепко Е.</t>
  </si>
  <si>
    <t>Стрельцов В.</t>
  </si>
  <si>
    <t>Тихонова Н.</t>
  </si>
  <si>
    <t>Юсубова Н.</t>
  </si>
  <si>
    <t>Яньков Р.</t>
  </si>
  <si>
    <r>
      <t>Курс иностранной валюты указывается на дату составления авансового отчета - необходимо, если расходы были понесены в валюте, аванс которой не выдавался. Курс должен соответствовать данным ЦБ РФ на день заполнения авансового отчета  (</t>
    </r>
    <r>
      <rPr>
        <u/>
        <sz val="10"/>
        <color theme="4" tint="-0.249977111117893"/>
        <rFont val="Arial Cyr"/>
        <charset val="204"/>
      </rPr>
      <t>http://www.cbr.ru/currency_base/daily.aspx</t>
    </r>
    <r>
      <rPr>
        <sz val="10"/>
        <rFont val="Arial Cyr"/>
        <charset val="204"/>
      </rPr>
      <t>)</t>
    </r>
  </si>
  <si>
    <r>
      <t>Далее нажмите кнопку "</t>
    </r>
    <r>
      <rPr>
        <b/>
        <sz val="10"/>
        <rFont val="Arial Cyr"/>
        <charset val="204"/>
      </rPr>
      <t>Новый авансовый отчет</t>
    </r>
    <r>
      <rPr>
        <sz val="10"/>
        <rFont val="Arial Cyr"/>
        <charset val="204"/>
      </rPr>
      <t>", вы автоматически перейдете в Новый файл Excel, в котором необходимо предпринять следующие действия.</t>
    </r>
  </si>
  <si>
    <t>40</t>
  </si>
  <si>
    <t>Тур Н.</t>
  </si>
  <si>
    <t>-</t>
  </si>
  <si>
    <t>Территориальный представитель по продажам/ Набережные Челны</t>
  </si>
  <si>
    <t>Специалист по работе с ключевыми клиентами</t>
  </si>
  <si>
    <t>Территориальный представитель по продажам/ Калуга</t>
  </si>
  <si>
    <t>Территориальный представитель по продажам/ Оренбург</t>
  </si>
  <si>
    <t>Младший менеджер по работе с ключевыми клиентами</t>
  </si>
  <si>
    <t>Старший специалист по работе со складом и таможней</t>
  </si>
  <si>
    <t>Старший специалист по логистике</t>
  </si>
  <si>
    <t>Территориальный представитель по продажам</t>
  </si>
  <si>
    <t>Территориальный представитель по продажам/ Рязань</t>
  </si>
  <si>
    <t>Территориальный представитель по продажам/ Тольятти</t>
  </si>
  <si>
    <t>Территориальный представитель по продажам/ Волгоград</t>
  </si>
  <si>
    <t>Территориальный представитель по продажам/ Архангельск</t>
  </si>
  <si>
    <t>Территориальный представитель по продажам/ Владивосток</t>
  </si>
  <si>
    <t>Территориальный представитель по продажам/ Красноярск</t>
  </si>
  <si>
    <t>Территориальный представитель по продажам/ Мурманск</t>
  </si>
  <si>
    <t>Территориальный представитель по продажам/ Новосибирск</t>
  </si>
  <si>
    <t>Территориальный представитель по продажам/ Екатеринбург</t>
  </si>
  <si>
    <t>Территориальный представитель по продажам/ Омск</t>
  </si>
  <si>
    <t>Территориальный представитель по продажам/ Курск</t>
  </si>
  <si>
    <t>Специалист по работе с ключевыми клиентами/ Санкт-Петербург</t>
  </si>
  <si>
    <t>Территориальный представитель по продажам/ Санкт-Петербург</t>
  </si>
  <si>
    <t>Территориальный представитель по продажам/ Воронеж</t>
  </si>
  <si>
    <t>Территориальный представитель по продажам/ Вологда</t>
  </si>
  <si>
    <t>Территориальный представитель по продажам/ Южно-Сахалинск</t>
  </si>
  <si>
    <t>Территориальный представитель по продажам/ Чебоксары</t>
  </si>
  <si>
    <t>Территориальный представитель по продажам/ Кемерово</t>
  </si>
  <si>
    <t>Садовский Д.</t>
  </si>
  <si>
    <t>Территориальный представитель по продажам/ Сыктывкар</t>
  </si>
  <si>
    <t>Территориальный представитель по продажам/ Тула</t>
  </si>
  <si>
    <t>Территориальный представитель по продажам/ Благовещенск</t>
  </si>
  <si>
    <t>Турченко М.</t>
  </si>
  <si>
    <t>Территориальный представитель по продажам/ Псков</t>
  </si>
  <si>
    <t>Территориальный представитель по продажам/ Сочи</t>
  </si>
  <si>
    <t>Территориальный представитель по продажам/ Краснодар</t>
  </si>
  <si>
    <t>Территориальный представитель по продажам/ Киров</t>
  </si>
  <si>
    <t>1152/2015-к</t>
  </si>
  <si>
    <t>425 6142089549</t>
  </si>
  <si>
    <t>24227</t>
  </si>
  <si>
    <t>16, 18/10/15</t>
  </si>
  <si>
    <t>7545, 85</t>
  </si>
  <si>
    <t>командировка по России</t>
  </si>
  <si>
    <t>Графа "Сумма" заполняется автоматически.</t>
  </si>
  <si>
    <t>Графа "Счет бухгалтерского учета" заполняется автоматически и при необходимости корректируется вручную бухгалтером.</t>
  </si>
  <si>
    <t>Старший специалист по закупкам и работе с контрактными организациями</t>
  </si>
  <si>
    <t>Харитонова Т.</t>
  </si>
  <si>
    <t>Юсова М.</t>
  </si>
  <si>
    <t>Нотариальные расходы</t>
  </si>
  <si>
    <t>Водопьянова Е.</t>
  </si>
  <si>
    <t>Додан Т.</t>
  </si>
  <si>
    <t>Кузьмина Ю.</t>
  </si>
  <si>
    <t>Михаленко К.</t>
  </si>
  <si>
    <t>Давлетбакова Э.</t>
  </si>
  <si>
    <t>Левочкина О.</t>
  </si>
  <si>
    <t>Захарченко А.</t>
  </si>
  <si>
    <t>Гильфанова Н.</t>
  </si>
  <si>
    <t xml:space="preserve">Командировка в </t>
  </si>
  <si>
    <t>Панасейко А.</t>
  </si>
  <si>
    <t>Лосева Т.</t>
  </si>
  <si>
    <t>Петрова Ю.</t>
  </si>
  <si>
    <t>Терентьева И.</t>
  </si>
  <si>
    <t>Даниленко Д.</t>
  </si>
  <si>
    <t>Фитнесс клуб</t>
  </si>
  <si>
    <t>Кудинова Н.</t>
  </si>
  <si>
    <t>Лукиянов В.</t>
  </si>
  <si>
    <t>Матвеев К.</t>
  </si>
  <si>
    <t>BYR</t>
  </si>
  <si>
    <t>Командное мероприятие</t>
  </si>
  <si>
    <t>Маматов В.</t>
  </si>
  <si>
    <t>Пуганов М.</t>
  </si>
  <si>
    <t>Татуйко О.</t>
  </si>
  <si>
    <t>Егоров Р.</t>
  </si>
  <si>
    <r>
      <t>В графе "</t>
    </r>
    <r>
      <rPr>
        <b/>
        <sz val="10"/>
        <rFont val="Arial Cyr"/>
        <charset val="204"/>
      </rPr>
      <t>Вид расходов</t>
    </r>
    <r>
      <rPr>
        <sz val="10"/>
        <rFont val="Arial Cyr"/>
        <charset val="204"/>
      </rPr>
      <t>" выберите вид расходов из ниспадающего списка. Если в списке нет необходимого вида расходов, выберите "</t>
    </r>
    <r>
      <rPr>
        <b/>
        <sz val="10"/>
        <rFont val="Arial Cyr"/>
        <charset val="204"/>
      </rPr>
      <t>Прочие</t>
    </r>
    <r>
      <rPr>
        <sz val="10"/>
        <rFont val="Arial Cyr"/>
        <charset val="204"/>
      </rPr>
      <t xml:space="preserve"> расходы" и в графе "</t>
    </r>
    <r>
      <rPr>
        <b/>
        <sz val="10"/>
        <rFont val="Arial Cyr"/>
        <charset val="204"/>
      </rPr>
      <t>Комментарии</t>
    </r>
    <r>
      <rPr>
        <sz val="10"/>
        <rFont val="Arial Cyr"/>
        <charset val="204"/>
      </rPr>
      <t xml:space="preserve">" напечатайте содержание расходов.
</t>
    </r>
    <r>
      <rPr>
        <sz val="14"/>
        <color rgb="FFFF0000"/>
        <rFont val="Arial Cyr"/>
        <charset val="204"/>
      </rPr>
      <t>Если в авансовом отчете есть суточные, этот вид расходов нужно указать первым пунктом.</t>
    </r>
  </si>
  <si>
    <r>
      <t>Если выбран тип расходов "</t>
    </r>
    <r>
      <rPr>
        <b/>
        <sz val="10"/>
        <rFont val="Arial Cyr"/>
        <charset val="204"/>
      </rPr>
      <t>Авиабилет</t>
    </r>
    <r>
      <rPr>
        <sz val="10"/>
        <rFont val="Arial Cyr"/>
        <charset val="204"/>
      </rPr>
      <t>" или "</t>
    </r>
    <r>
      <rPr>
        <b/>
        <sz val="10"/>
        <rFont val="Arial Cyr"/>
        <charset val="204"/>
      </rPr>
      <t>Железнодорожный билет</t>
    </r>
    <r>
      <rPr>
        <sz val="10"/>
        <rFont val="Arial Cyr"/>
        <charset val="204"/>
      </rPr>
      <t>", укажите номер и дату билета, маршрут и дату поездки, сумму БЕЗ НДС!!! Сумму нужно сверить в файле " Остаток в подотчете"</t>
    </r>
  </si>
  <si>
    <r>
      <t>образцы билетов можно найти на общем диске по адресу "</t>
    </r>
    <r>
      <rPr>
        <u/>
        <sz val="10"/>
        <color theme="4" tint="-0.249977111117893"/>
        <rFont val="Arial Cyr"/>
        <charset val="204"/>
      </rPr>
      <t>K:\Авансовые отчеты</t>
    </r>
    <r>
      <rPr>
        <sz val="10"/>
        <rFont val="Arial Cyr"/>
        <charset val="204"/>
      </rPr>
      <t>".</t>
    </r>
  </si>
  <si>
    <r>
      <t>В графе "</t>
    </r>
    <r>
      <rPr>
        <b/>
        <sz val="10"/>
        <rFont val="Arial Cyr"/>
        <charset val="204"/>
      </rPr>
      <t>Комментарии</t>
    </r>
    <r>
      <rPr>
        <sz val="10"/>
        <rFont val="Arial Cyr"/>
        <charset val="204"/>
      </rPr>
      <t>" вручную добавляется комментарий к затратам. Например, город и дату проживания, даты командировки, маршрут и т.д.</t>
    </r>
  </si>
  <si>
    <t>а/м</t>
  </si>
  <si>
    <t>Департамент продаж. Отдел по работе с региональными клиентами</t>
  </si>
  <si>
    <t>Департамент продаж.  Отдел по работе с сетевыми клиентами</t>
  </si>
  <si>
    <t>Департамент продаж. Отдел планирования и анализа продаж</t>
  </si>
  <si>
    <t>Департамент логистики.  Отдел по работе с клиентами</t>
  </si>
  <si>
    <t>Департамент логистики. Отдел закупок</t>
  </si>
  <si>
    <t>Департамент логистики. Отдел логистики</t>
  </si>
  <si>
    <t>Департамент торгового маркетинга. Отдел стратегического развития категорий</t>
  </si>
  <si>
    <t>Департамент логистики. Отдел логистики Новосибирск</t>
  </si>
  <si>
    <t>Департамент логистики. Отдел планирования</t>
  </si>
  <si>
    <t>Территориальный представитель по продажам/ Ижевск</t>
  </si>
  <si>
    <t>Территориальный представитель по продажам/ Ставрополь</t>
  </si>
  <si>
    <t>Финансовый департамент. Отдел контролинга</t>
  </si>
  <si>
    <t>Территориальный представитель по продажам/ Чита</t>
  </si>
  <si>
    <t>Территораильный менеджер/ Владивосток</t>
  </si>
  <si>
    <t>Игумнова А.</t>
  </si>
  <si>
    <t>Территориальный представитель по продажам/ Сургут</t>
  </si>
  <si>
    <t>Финансовый департамент.  Бухгалтерия</t>
  </si>
  <si>
    <t>Территориальный представитель по продажам/ Хабаровск</t>
  </si>
  <si>
    <t>Финансовый департамент. Отдел информационных  систем и технологий</t>
  </si>
  <si>
    <t>Координатор по транспорту</t>
  </si>
  <si>
    <t>Территориальный представитель по продажам/ Астрахань</t>
  </si>
  <si>
    <t>Территориальный менеджер/ Пенза</t>
  </si>
  <si>
    <t>Территориальный представитель по продажам/ Махачкала</t>
  </si>
  <si>
    <t>Территориальный представитель по продажам/ Брянск</t>
  </si>
  <si>
    <t>Департамент торгового маркетинга. Отдел торгового маркетинга</t>
  </si>
  <si>
    <t>Мура М.</t>
  </si>
  <si>
    <t>Территориальный представитель по продажам/ Якутск</t>
  </si>
  <si>
    <t>Специалист по логистике</t>
  </si>
  <si>
    <t>Территориальный менеджер/ Кисловодск</t>
  </si>
  <si>
    <t>Территориальный представитель по продажам/ Самара</t>
  </si>
  <si>
    <t>Территориальный представитель по продажам/ Ульяновск</t>
  </si>
  <si>
    <t>126FC002860</t>
  </si>
  <si>
    <t>126FC000951</t>
  </si>
  <si>
    <t>126FC013648</t>
  </si>
  <si>
    <t>126FC000885</t>
  </si>
  <si>
    <t>126FC088969</t>
  </si>
  <si>
    <t>126FC002858</t>
  </si>
  <si>
    <t>126FC004161</t>
  </si>
  <si>
    <t>126FC021471</t>
  </si>
  <si>
    <t>126FC021658</t>
  </si>
  <si>
    <t>126FC013643</t>
  </si>
  <si>
    <t>126FC003592</t>
  </si>
  <si>
    <t>126FC036802</t>
  </si>
  <si>
    <t>126FC021638</t>
  </si>
  <si>
    <t>126FC004159</t>
  </si>
  <si>
    <t>126FC013653</t>
  </si>
  <si>
    <t>Стоянка а/м в аэропорту</t>
  </si>
  <si>
    <t>ГСМ для а/м</t>
  </si>
  <si>
    <t>Доплата за а/б</t>
  </si>
  <si>
    <t>Штраф за а/б</t>
  </si>
  <si>
    <t>126FC014086</t>
  </si>
  <si>
    <t>126FC002850</t>
  </si>
  <si>
    <t>126FC086072</t>
  </si>
  <si>
    <t>126FC053153</t>
  </si>
  <si>
    <t>126FC088751</t>
  </si>
  <si>
    <t>126FC002821</t>
  </si>
  <si>
    <t>126FC021453</t>
  </si>
  <si>
    <t>126FC025102</t>
  </si>
  <si>
    <t>Employee name</t>
  </si>
  <si>
    <t>Cost center</t>
  </si>
  <si>
    <t xml:space="preserve"> VIN                                  ( insurance cars) </t>
  </si>
  <si>
    <t xml:space="preserve">Number of personal electronic key (petrol ) </t>
  </si>
  <si>
    <t>order working</t>
  </si>
  <si>
    <t>Дебетовая Кредитная карта</t>
  </si>
  <si>
    <t>*8942</t>
  </si>
  <si>
    <t>*6223</t>
  </si>
  <si>
    <t>Z6F5XXEEC5FS02860</t>
  </si>
  <si>
    <t>Z6FDXXEECDFL00951</t>
  </si>
  <si>
    <t>*0268</t>
  </si>
  <si>
    <t>*4760</t>
  </si>
  <si>
    <t>Z6FDXXEECDFL00885</t>
  </si>
  <si>
    <t>*5320</t>
  </si>
  <si>
    <t>Z6FKXXEEBKFD88969</t>
  </si>
  <si>
    <t>*9667</t>
  </si>
  <si>
    <t>Z6F5XXEEC5FS02858</t>
  </si>
  <si>
    <t>Z6F5XXEEC5FT04161</t>
  </si>
  <si>
    <t>Z6FKXXEEBKFD88830</t>
  </si>
  <si>
    <t>*7988</t>
  </si>
  <si>
    <t>*4611</t>
  </si>
  <si>
    <t>Z6FDXXEECDGL21453</t>
  </si>
  <si>
    <t>*6057</t>
  </si>
  <si>
    <t>Z6FDXXEECDGA14086</t>
  </si>
  <si>
    <t>*1525</t>
  </si>
  <si>
    <t>*4526</t>
  </si>
  <si>
    <t>*3186</t>
  </si>
  <si>
    <t>Z6F5XXEEC5FS02850</t>
  </si>
  <si>
    <t>*4059</t>
  </si>
  <si>
    <t>Z6FDXXEECDGL21471</t>
  </si>
  <si>
    <t>*7242</t>
  </si>
  <si>
    <t>Z6FKXXEEBKFC86072</t>
  </si>
  <si>
    <t>Z94CU41DBFR453153</t>
  </si>
  <si>
    <t>Z6F5XXEEC5GL21658</t>
  </si>
  <si>
    <t>Z6FKXXEEBKFD88751</t>
  </si>
  <si>
    <t>Z6F5XXEEC5GA13643</t>
  </si>
  <si>
    <t>Z6F5XXEEC5FT03592</t>
  </si>
  <si>
    <t>Z6F5XXEEC5FS02821</t>
  </si>
  <si>
    <t>*1799</t>
  </si>
  <si>
    <t>Z6F5XXEEC5GL21638</t>
  </si>
  <si>
    <t>Z6F5XXEEC5FT04159</t>
  </si>
  <si>
    <t>Z6FDXXEECDGS25102</t>
  </si>
  <si>
    <t>*7176</t>
  </si>
  <si>
    <t>Z6F5XXEEC5GA13653</t>
  </si>
  <si>
    <t>*0852</t>
  </si>
  <si>
    <t>Travel &amp; Expense Claim</t>
  </si>
  <si>
    <t>Date:</t>
  </si>
  <si>
    <t>Company code:</t>
  </si>
  <si>
    <t>Employee name:</t>
  </si>
  <si>
    <t>Department:</t>
  </si>
  <si>
    <t>Purpose of travel:</t>
  </si>
  <si>
    <t>User ID of employee:</t>
  </si>
  <si>
    <t>Posting reference:</t>
  </si>
  <si>
    <t>Additional remarks:</t>
  </si>
  <si>
    <t>No.</t>
  </si>
  <si>
    <t>Date</t>
  </si>
  <si>
    <t>Expense Type</t>
  </si>
  <si>
    <t>Nature of Expense</t>
  </si>
  <si>
    <t>Cost Center</t>
  </si>
  <si>
    <t>GL</t>
  </si>
  <si>
    <t>CC</t>
  </si>
  <si>
    <t>Internal Order</t>
  </si>
  <si>
    <t>Tax</t>
  </si>
  <si>
    <t>TaxC</t>
  </si>
  <si>
    <t>Curr.</t>
  </si>
  <si>
    <t>Amount (FC)</t>
  </si>
  <si>
    <t>Amount (LC)</t>
  </si>
  <si>
    <t>Net (LC)</t>
  </si>
  <si>
    <t>Withhold. Tax</t>
  </si>
  <si>
    <t>Credit Card</t>
  </si>
  <si>
    <t>FX1</t>
  </si>
  <si>
    <t>FX2</t>
  </si>
  <si>
    <t>Credit Card Amount</t>
  </si>
  <si>
    <t>Tax %</t>
  </si>
  <si>
    <t>Tax Amount</t>
  </si>
  <si>
    <t xml:space="preserve"> = Free text data entry</t>
  </si>
  <si>
    <t>Total Expenses:</t>
  </si>
  <si>
    <t xml:space="preserve"> = Select from drop down list</t>
  </si>
  <si>
    <t>Withholding Tax:</t>
  </si>
  <si>
    <t>minus</t>
  </si>
  <si>
    <t xml:space="preserve"> = Formulas</t>
  </si>
  <si>
    <t>Paid by Corporate Credit Card:</t>
  </si>
  <si>
    <t>Gross Amount:</t>
  </si>
  <si>
    <t xml:space="preserve">(Displayed in "Invoice data" </t>
  </si>
  <si>
    <t>of Workflow Approval Mask)</t>
  </si>
  <si>
    <t>Tax Amount:</t>
  </si>
  <si>
    <t>Net Amount:</t>
  </si>
  <si>
    <t>T&amp;E advance received:</t>
  </si>
  <si>
    <t>(to be filled if received)</t>
  </si>
  <si>
    <t>Reimbursement to employee:</t>
  </si>
  <si>
    <t>CC No</t>
  </si>
  <si>
    <t>Cost Center 1</t>
  </si>
  <si>
    <t>Cost Center 2</t>
  </si>
  <si>
    <t>Cost Center 3</t>
  </si>
  <si>
    <t>Cost Center 4</t>
  </si>
  <si>
    <t>Cost Center 5</t>
  </si>
  <si>
    <t>Cost Center 6</t>
  </si>
  <si>
    <t>Tax Code</t>
  </si>
  <si>
    <t>Tax Perc.</t>
  </si>
  <si>
    <t>V1</t>
  </si>
  <si>
    <t>5% dom.</t>
  </si>
  <si>
    <t>V2</t>
  </si>
  <si>
    <t>Foreign</t>
  </si>
  <si>
    <t>V0</t>
  </si>
  <si>
    <t>Not taxable</t>
  </si>
  <si>
    <t>18% dom.</t>
  </si>
  <si>
    <t>13% dom.</t>
  </si>
  <si>
    <t>V3</t>
  </si>
  <si>
    <t>LagutkinaE</t>
  </si>
  <si>
    <t>DodaneT</t>
  </si>
  <si>
    <t>BykovaI</t>
  </si>
  <si>
    <t>GnatenkoI</t>
  </si>
  <si>
    <t>MlatecekP</t>
  </si>
  <si>
    <t>KurakoV</t>
  </si>
  <si>
    <t>TikhonovaN</t>
  </si>
  <si>
    <t>PrudnikovaE</t>
  </si>
  <si>
    <t>G/L Account</t>
  </si>
  <si>
    <t>Net amount</t>
  </si>
  <si>
    <t>Tax code</t>
  </si>
  <si>
    <t>Order</t>
  </si>
  <si>
    <t>Text</t>
  </si>
  <si>
    <t>Кондратьев А.</t>
  </si>
  <si>
    <t>Прудникова Е.</t>
  </si>
  <si>
    <t>Директор департамента по работе с персоналом</t>
  </si>
  <si>
    <t>Шмидт Е.</t>
  </si>
  <si>
    <t>Director/ RSM:</t>
  </si>
  <si>
    <t>Бердинских О.</t>
  </si>
  <si>
    <t>Ефимова Н.</t>
  </si>
  <si>
    <t>Z6FKXXEEBKFD88790</t>
  </si>
  <si>
    <t>126FC088790</t>
  </si>
  <si>
    <t>Макиевская Н.</t>
  </si>
  <si>
    <t>Твалчрелидзе Г.</t>
  </si>
  <si>
    <t>Баженова Г.</t>
  </si>
  <si>
    <t>Z6FKXXEEBKFD89124</t>
  </si>
  <si>
    <t>126FC089124</t>
  </si>
  <si>
    <t>Киреев А.</t>
  </si>
  <si>
    <t>Клоков М.</t>
  </si>
  <si>
    <t xml:space="preserve"> 1005977735</t>
  </si>
  <si>
    <t>1005977733</t>
  </si>
  <si>
    <t>Белкин Н.</t>
  </si>
  <si>
    <t>Директор отдела по работе с региональными клиентами</t>
  </si>
  <si>
    <t>BelkinN</t>
  </si>
  <si>
    <t>Z6FKXXEEBKFD89200</t>
  </si>
  <si>
    <t>126FC089200</t>
  </si>
  <si>
    <t>Купцов В.</t>
  </si>
  <si>
    <t>Матвеева С.</t>
  </si>
  <si>
    <t>Z6F4XXECK4FS09214</t>
  </si>
  <si>
    <t>126FC009214</t>
  </si>
  <si>
    <t>Проскурякова Н.</t>
  </si>
  <si>
    <t>Сутормина В.</t>
  </si>
  <si>
    <t>Z6FDXXEECDFY02022</t>
  </si>
  <si>
    <t>126FC002022</t>
  </si>
  <si>
    <t>Z94CU41CBHR556304</t>
  </si>
  <si>
    <t>1005977702</t>
  </si>
  <si>
    <t>126FC056304</t>
  </si>
  <si>
    <t>Камленок О.</t>
  </si>
  <si>
    <t>Копытов Н.</t>
  </si>
  <si>
    <t>1005977701</t>
  </si>
  <si>
    <t>Руководитель группы по работе с ключевыми клиентами</t>
  </si>
  <si>
    <t>Территориальный представитель по продажам/ Нижний Новгород</t>
  </si>
  <si>
    <t>Z6FDXXEECDHC37676</t>
  </si>
  <si>
    <t>126FC037676</t>
  </si>
  <si>
    <t>Региональный менеджер по продажам/ Москва</t>
  </si>
  <si>
    <t>Руководитель группы качества и технического регулирования</t>
  </si>
  <si>
    <t>Z94CU41CBHR558932</t>
  </si>
  <si>
    <t>126FC058932</t>
  </si>
  <si>
    <t>Специалист по персоналу</t>
  </si>
  <si>
    <t>Территориальный представитель по продажам/ Белгород</t>
  </si>
  <si>
    <t>Территориальный представитель по продажам/ Липецк</t>
  </si>
  <si>
    <t>Территориальный представитель по продажам/ Саранск</t>
  </si>
  <si>
    <t>Территориальный менеджер/ Уфа</t>
  </si>
  <si>
    <t>Менеджер по цифровым коммуникациям</t>
  </si>
  <si>
    <t>Специалист по взаимодействию с ключевыми клиентами</t>
  </si>
  <si>
    <t>Руководитель отдела стратегического развития</t>
  </si>
  <si>
    <t>Отдел персонала</t>
  </si>
  <si>
    <t>Специалист по охране труда</t>
  </si>
  <si>
    <t>Менеджер по анализу рынка</t>
  </si>
  <si>
    <t>Руководитель отдела маркетинга мужской категории и исследованиям рынка</t>
  </si>
  <si>
    <t>Менеджер по работе со складом и таможней</t>
  </si>
  <si>
    <t>Менеджер по кадровым вопросам и аналитике</t>
  </si>
  <si>
    <t>Чистякова А.</t>
  </si>
  <si>
    <t>Беляев О.</t>
  </si>
  <si>
    <t>Богомолова А.</t>
  </si>
  <si>
    <t>Z6FDXXEECDFS02539</t>
  </si>
  <si>
    <t>126FC002539</t>
  </si>
  <si>
    <t>Number of employee vendor account:</t>
  </si>
  <si>
    <t>Line manager name:</t>
  </si>
  <si>
    <t>Please flag if relevant:</t>
  </si>
  <si>
    <t>Employee is BDF employee (internal staff member) without User ID, e.g. sales staff, blue collar worker in PC</t>
  </si>
  <si>
    <t>ANDREEVAY</t>
  </si>
  <si>
    <t>ANDRONOVAA</t>
  </si>
  <si>
    <t>BAZHATKOVP</t>
  </si>
  <si>
    <t>BELKINN</t>
  </si>
  <si>
    <t>BELOUSOVAO</t>
  </si>
  <si>
    <t>BELYAEVAV</t>
  </si>
  <si>
    <t>BOGOMOLOVAA</t>
  </si>
  <si>
    <t>BYKOVAI</t>
  </si>
  <si>
    <t>VASILIEVAI</t>
  </si>
  <si>
    <t>VECHKAEVAA</t>
  </si>
  <si>
    <t>VLASOVAN</t>
  </si>
  <si>
    <t>VODOPIANOVAE</t>
  </si>
  <si>
    <t>VORONINAA</t>
  </si>
  <si>
    <t>GNATENKOI</t>
  </si>
  <si>
    <t>GOGOLASHVILL</t>
  </si>
  <si>
    <t>GRASSEV</t>
  </si>
  <si>
    <t>GUBANOVAY</t>
  </si>
  <si>
    <t>DAVLETE</t>
  </si>
  <si>
    <t>DMITRIEVR</t>
  </si>
  <si>
    <t>DODANET</t>
  </si>
  <si>
    <t>EFIMOVAN</t>
  </si>
  <si>
    <t>ZHUKOVAO</t>
  </si>
  <si>
    <t>ZAINULINAE</t>
  </si>
  <si>
    <t>ZOLOTAREVAA</t>
  </si>
  <si>
    <t>KAMLENOKO</t>
  </si>
  <si>
    <t>KEDROVSKAYAN</t>
  </si>
  <si>
    <t>KOBLOVAA</t>
  </si>
  <si>
    <t>KOVALEVAE</t>
  </si>
  <si>
    <t>KONDRASHOVAE</t>
  </si>
  <si>
    <t>KONOVALOVAJ</t>
  </si>
  <si>
    <t>KOCHETKOVAA</t>
  </si>
  <si>
    <t>KUZNETSOVI</t>
  </si>
  <si>
    <t>KUZMINAJ</t>
  </si>
  <si>
    <t>LAGUTKINAE</t>
  </si>
  <si>
    <t>LAZARENKOI</t>
  </si>
  <si>
    <t>LEVOCHKINAO</t>
  </si>
  <si>
    <t>LUKYANOVAY</t>
  </si>
  <si>
    <t>LYASHENKOY</t>
  </si>
  <si>
    <t>MALEEVAT</t>
  </si>
  <si>
    <t>MIRONOVAA</t>
  </si>
  <si>
    <t>MIRONOVAN</t>
  </si>
  <si>
    <t>MIKHALL</t>
  </si>
  <si>
    <t>NOSIKOVS</t>
  </si>
  <si>
    <t>OGNEVAE</t>
  </si>
  <si>
    <t>PANCHENKOS</t>
  </si>
  <si>
    <t>PETROVAY</t>
  </si>
  <si>
    <t>POLYAKOVAT</t>
  </si>
  <si>
    <t>PRUDNIKOVAE</t>
  </si>
  <si>
    <t>RODINAO</t>
  </si>
  <si>
    <t>RYBCHINT</t>
  </si>
  <si>
    <t>SKRIPKINAO</t>
  </si>
  <si>
    <t>STRELKOVAE</t>
  </si>
  <si>
    <t>SUKHANOVAO</t>
  </si>
  <si>
    <t>TVALCHRELIDG</t>
  </si>
  <si>
    <t>TIKHONOVAN</t>
  </si>
  <si>
    <t>TROSTI</t>
  </si>
  <si>
    <t>TYUKHANOVAL</t>
  </si>
  <si>
    <t>USENOVAV</t>
  </si>
  <si>
    <t>FILIMONOVAE</t>
  </si>
  <si>
    <t>Z6FDXXEECDGA14177</t>
  </si>
  <si>
    <t>126FC014177</t>
  </si>
  <si>
    <t>Ковтун Д.</t>
  </si>
  <si>
    <t>Z6F5XXEEC5GG15836</t>
  </si>
  <si>
    <t>126FC015836</t>
  </si>
  <si>
    <t>Z94CU41CBHR558140</t>
  </si>
  <si>
    <t>126FC058140</t>
  </si>
  <si>
    <t>Шахман И.</t>
  </si>
  <si>
    <t>Z6FDXXEECDGL21441</t>
  </si>
  <si>
    <t>126FC021441</t>
  </si>
  <si>
    <t>Горшков А.</t>
  </si>
  <si>
    <t>Зуев Ф.</t>
  </si>
  <si>
    <t>Руководитель отдела по управлению эффективностью продаж и прибыльностью</t>
  </si>
  <si>
    <t>Коваленко Д.</t>
  </si>
  <si>
    <t>Z6F5XXEEC5GL21676</t>
  </si>
  <si>
    <t>126FC021676</t>
  </si>
  <si>
    <t>MironovaN</t>
  </si>
  <si>
    <t>KovtunD</t>
  </si>
  <si>
    <t>AkhmetovS</t>
  </si>
  <si>
    <t>AkhrameevaP</t>
  </si>
  <si>
    <t>BazhatkovP</t>
  </si>
  <si>
    <t>BazhenovaG</t>
  </si>
  <si>
    <t>BandyukovaA</t>
  </si>
  <si>
    <t>BezmenovA</t>
  </si>
  <si>
    <t>BelousovaO</t>
  </si>
  <si>
    <t>BelyaevO</t>
  </si>
  <si>
    <t>BelyaevaV</t>
  </si>
  <si>
    <t>BerdinskikhO</t>
  </si>
  <si>
    <t>BogomolovaA</t>
  </si>
  <si>
    <t>VasilievaI</t>
  </si>
  <si>
    <t>VechkaevaA</t>
  </si>
  <si>
    <t>VilkovaM</t>
  </si>
  <si>
    <t>VlasovaN</t>
  </si>
  <si>
    <t>VodopianovaE</t>
  </si>
  <si>
    <t>VoroninaA</t>
  </si>
  <si>
    <t>GilfanovaN</t>
  </si>
  <si>
    <t>GogolashvilL</t>
  </si>
  <si>
    <t>GorbulevaI</t>
  </si>
  <si>
    <t>GorshkovA</t>
  </si>
  <si>
    <t>GoryachevaA</t>
  </si>
  <si>
    <t>GrasseV</t>
  </si>
  <si>
    <t>GubanovaY</t>
  </si>
  <si>
    <t>GurinN</t>
  </si>
  <si>
    <t>DavletE</t>
  </si>
  <si>
    <t>DanilenkoD</t>
  </si>
  <si>
    <t>DanilovD</t>
  </si>
  <si>
    <t>DmitrievR</t>
  </si>
  <si>
    <t>DronovaE</t>
  </si>
  <si>
    <t>EgorovR</t>
  </si>
  <si>
    <t>EltsovI</t>
  </si>
  <si>
    <t>EfimovaN</t>
  </si>
  <si>
    <t>ZhukovaO</t>
  </si>
  <si>
    <t>ZainulinaE</t>
  </si>
  <si>
    <t>ZakharA</t>
  </si>
  <si>
    <t>ZemtsovskayE</t>
  </si>
  <si>
    <t>ZolotarevaA</t>
  </si>
  <si>
    <t>ZuevP</t>
  </si>
  <si>
    <t>ZuzinaA</t>
  </si>
  <si>
    <t>IvanovaAn</t>
  </si>
  <si>
    <t>IvanovaE</t>
  </si>
  <si>
    <t>IgumnovaA</t>
  </si>
  <si>
    <t>KazakovaR</t>
  </si>
  <si>
    <t>KalashnikovD</t>
  </si>
  <si>
    <t>KamlenokO</t>
  </si>
  <si>
    <t>KarasevS</t>
  </si>
  <si>
    <t>KarpukhinaY</t>
  </si>
  <si>
    <t>KatunovaA</t>
  </si>
  <si>
    <t>KedrovskayaN</t>
  </si>
  <si>
    <t>KimA</t>
  </si>
  <si>
    <t>KireevA</t>
  </si>
  <si>
    <t>KlokovM</t>
  </si>
  <si>
    <t>KoblovaA</t>
  </si>
  <si>
    <t>KovalevaE</t>
  </si>
  <si>
    <t>KovalenkoD</t>
  </si>
  <si>
    <t>KozlovskayaS</t>
  </si>
  <si>
    <t>KozmenkoA</t>
  </si>
  <si>
    <t>KondratievA</t>
  </si>
  <si>
    <t>KondrashovaE</t>
  </si>
  <si>
    <t>KonovalovaJ</t>
  </si>
  <si>
    <t>KopytovN</t>
  </si>
  <si>
    <t>KochetkovaA</t>
  </si>
  <si>
    <t>KrasnoperovA</t>
  </si>
  <si>
    <t>KudinovaN</t>
  </si>
  <si>
    <t>KuznetsovI</t>
  </si>
  <si>
    <t>KuzminaJ</t>
  </si>
  <si>
    <t>KuptsovV</t>
  </si>
  <si>
    <t>LazarenkoI</t>
  </si>
  <si>
    <t>LarinaO</t>
  </si>
  <si>
    <t>LevochkinaO</t>
  </si>
  <si>
    <t>LipinaI</t>
  </si>
  <si>
    <t>LosevaT</t>
  </si>
  <si>
    <t>LukianovV</t>
  </si>
  <si>
    <t>LukoninM</t>
  </si>
  <si>
    <t>LukyanovaY</t>
  </si>
  <si>
    <t>LyudnovaY</t>
  </si>
  <si>
    <t>LyashenkoY</t>
  </si>
  <si>
    <t>MakievskayaN</t>
  </si>
  <si>
    <t>MaleevaT</t>
  </si>
  <si>
    <t>MamatovV</t>
  </si>
  <si>
    <t>MatveevK</t>
  </si>
  <si>
    <t>MatveevaS</t>
  </si>
  <si>
    <t>MetelkovS</t>
  </si>
  <si>
    <t>MironovaA</t>
  </si>
  <si>
    <t>MikhalenkoK</t>
  </si>
  <si>
    <t>MikhalL</t>
  </si>
  <si>
    <t>MuraM</t>
  </si>
  <si>
    <t>MurashkinV</t>
  </si>
  <si>
    <t>NizamutdinovaL</t>
  </si>
  <si>
    <t>NosikovS</t>
  </si>
  <si>
    <t>OgnevaE</t>
  </si>
  <si>
    <t>OgorodnikovM</t>
  </si>
  <si>
    <t>OstashevaO</t>
  </si>
  <si>
    <t>PanaseykoA</t>
  </si>
  <si>
    <t>PanchenkoS</t>
  </si>
  <si>
    <t>PeretokinaM</t>
  </si>
  <si>
    <t>PeteschenkI</t>
  </si>
  <si>
    <t>PetrenkoR</t>
  </si>
  <si>
    <t>PetrovaY</t>
  </si>
  <si>
    <t>PlatovD</t>
  </si>
  <si>
    <t>PlotnikovaOl</t>
  </si>
  <si>
    <t>PokladS</t>
  </si>
  <si>
    <t>PolischukG</t>
  </si>
  <si>
    <t>PolyakovaT</t>
  </si>
  <si>
    <t>PonomarevR</t>
  </si>
  <si>
    <t>ProskuN</t>
  </si>
  <si>
    <t>PuganovM</t>
  </si>
  <si>
    <t>RempelY</t>
  </si>
  <si>
    <t>ReshetnikovaN</t>
  </si>
  <si>
    <t>RodinaO</t>
  </si>
  <si>
    <t>RomanovM</t>
  </si>
  <si>
    <t>RusanovaO</t>
  </si>
  <si>
    <t>RybchinT</t>
  </si>
  <si>
    <t>RyzhikovV</t>
  </si>
  <si>
    <t>SavchenkoV</t>
  </si>
  <si>
    <t>SadovskyD</t>
  </si>
  <si>
    <t>SalikhovaE</t>
  </si>
  <si>
    <t>SapunovaE</t>
  </si>
  <si>
    <t>SemenovaD</t>
  </si>
  <si>
    <t>SilichevaD</t>
  </si>
  <si>
    <t>SkripkinaO</t>
  </si>
  <si>
    <t>SlepkoE</t>
  </si>
  <si>
    <t>SolovievaO</t>
  </si>
  <si>
    <t>SpiridonovaY</t>
  </si>
  <si>
    <t>StepanychevA</t>
  </si>
  <si>
    <t>StrelkovaE</t>
  </si>
  <si>
    <t>StreltsovV</t>
  </si>
  <si>
    <t>SutorminaV</t>
  </si>
  <si>
    <t>SukhanovaO</t>
  </si>
  <si>
    <t>TatuikoO</t>
  </si>
  <si>
    <t>TvalchrelidG</t>
  </si>
  <si>
    <t>TemitskyY</t>
  </si>
  <si>
    <t>TerentevaI</t>
  </si>
  <si>
    <t>TeterinaL</t>
  </si>
  <si>
    <t>TolkachevaY</t>
  </si>
  <si>
    <t>TrepakovaT</t>
  </si>
  <si>
    <t>TrostI</t>
  </si>
  <si>
    <t>TryastsynaA</t>
  </si>
  <si>
    <t>TurN</t>
  </si>
  <si>
    <t>TurchenkoM</t>
  </si>
  <si>
    <t>TyukhanovaL</t>
  </si>
  <si>
    <t>UsenovaV</t>
  </si>
  <si>
    <t>FedorkovD</t>
  </si>
  <si>
    <t>FilatovA</t>
  </si>
  <si>
    <t>FilimonovaE</t>
  </si>
  <si>
    <t>FrolovS</t>
  </si>
  <si>
    <t>KharitonovaT</t>
  </si>
  <si>
    <t>KhaustovaE</t>
  </si>
  <si>
    <t>KhodzhibG</t>
  </si>
  <si>
    <t>TsarevaE</t>
  </si>
  <si>
    <t>ShakhmanI</t>
  </si>
  <si>
    <t>SheludkoA</t>
  </si>
  <si>
    <t>ShikhalevA</t>
  </si>
  <si>
    <t>ShmidE</t>
  </si>
  <si>
    <t>YusovaM</t>
  </si>
  <si>
    <t>YusubovaN</t>
  </si>
  <si>
    <t>YankovR</t>
  </si>
  <si>
    <t>BugoO</t>
  </si>
  <si>
    <t>Иваненко С.</t>
  </si>
  <si>
    <t>IvanenkoS</t>
  </si>
  <si>
    <t>Плеханова Л.</t>
  </si>
  <si>
    <t>PlekhanovaL</t>
  </si>
  <si>
    <t>Шестун А.</t>
  </si>
  <si>
    <t>ShestunA</t>
  </si>
  <si>
    <t>Z94K241BBJR064599</t>
  </si>
  <si>
    <t>126FC064599</t>
  </si>
  <si>
    <t>126FC000712</t>
  </si>
  <si>
    <t>VasilitsinA</t>
  </si>
  <si>
    <t>Z94K341CBJR066003</t>
  </si>
  <si>
    <t>126FC066003</t>
  </si>
  <si>
    <t>Z6F5XXEEC5FS02863</t>
  </si>
  <si>
    <t>126FC002863</t>
  </si>
  <si>
    <t>Z94K341CBJR063721</t>
  </si>
  <si>
    <t>126FC063721</t>
  </si>
  <si>
    <t>Z94K241BBJR065207</t>
  </si>
  <si>
    <t>126FC065207</t>
  </si>
  <si>
    <t>Ищенко О.</t>
  </si>
  <si>
    <t>IschenkoO</t>
  </si>
  <si>
    <t>126FC065292</t>
  </si>
  <si>
    <t>Z94K341CBJR065781</t>
  </si>
  <si>
    <t>126FC065781</t>
  </si>
  <si>
    <t>126FC073860</t>
  </si>
  <si>
    <t>126FC064915</t>
  </si>
  <si>
    <t>Z94K341CBJR065225</t>
  </si>
  <si>
    <t>126FC065225</t>
  </si>
  <si>
    <t>126FC065185</t>
  </si>
  <si>
    <t>126FC066002</t>
  </si>
  <si>
    <t>Z6FKXXEEBKFC86074</t>
  </si>
  <si>
    <t>126FC086074</t>
  </si>
  <si>
    <t>Стажёр</t>
  </si>
  <si>
    <t>ShinkarenkoN</t>
  </si>
  <si>
    <t>WBA5A71010G749744</t>
  </si>
  <si>
    <t>126FC049744</t>
  </si>
  <si>
    <t>Z6FDXXEECDGL21466</t>
  </si>
  <si>
    <t>126FC021466</t>
  </si>
  <si>
    <t>126FC021633</t>
  </si>
  <si>
    <t>Ключников Е.</t>
  </si>
  <si>
    <t>Z94K241BBKR103129</t>
  </si>
  <si>
    <t>126FC103129</t>
  </si>
  <si>
    <t>KlyuchnikovE</t>
  </si>
  <si>
    <t>MukharevaY</t>
  </si>
  <si>
    <t>Z6FKXXEEBKFD89090</t>
  </si>
  <si>
    <t>126FC089090</t>
  </si>
  <si>
    <t>Буго О.</t>
  </si>
  <si>
    <t>Шинкаренко Н.</t>
  </si>
  <si>
    <t>Елагина А.</t>
  </si>
  <si>
    <t>ElaginaA</t>
  </si>
  <si>
    <t>Рашова А.</t>
  </si>
  <si>
    <t>RashovaA</t>
  </si>
  <si>
    <t>Андреева Яна</t>
  </si>
  <si>
    <t>Андронова Анастасия</t>
  </si>
  <si>
    <t>Ахметов Салават</t>
  </si>
  <si>
    <t>Ахрамеева Полина</t>
  </si>
  <si>
    <t>Бажатков Павел</t>
  </si>
  <si>
    <t>Баженова Галина</t>
  </si>
  <si>
    <t>Бандюкова Анна</t>
  </si>
  <si>
    <t>Безменов Алексей</t>
  </si>
  <si>
    <t>Белкин Николай</t>
  </si>
  <si>
    <t>Белоусова Ольга</t>
  </si>
  <si>
    <t>Беляев Олег</t>
  </si>
  <si>
    <t>Беляева Валентина</t>
  </si>
  <si>
    <t>Бердинских Олеся</t>
  </si>
  <si>
    <t>Богомолова Анна</t>
  </si>
  <si>
    <t>Буго Оксана</t>
  </si>
  <si>
    <t>Быкова Ирина</t>
  </si>
  <si>
    <t>Васильева Ирина</t>
  </si>
  <si>
    <t>Вечкаева Анастасия</t>
  </si>
  <si>
    <t>Вилкова Мария</t>
  </si>
  <si>
    <t>Власова Наталья</t>
  </si>
  <si>
    <t>Водопьянова Елизавета</t>
  </si>
  <si>
    <t>Воронина Анна</t>
  </si>
  <si>
    <t>Гнатенко Игорь</t>
  </si>
  <si>
    <t>Гоголашвили Лаша</t>
  </si>
  <si>
    <t>Горбулева Ирина</t>
  </si>
  <si>
    <t>Горшков Александр</t>
  </si>
  <si>
    <t>Горячева Анна</t>
  </si>
  <si>
    <t>Грассе Виктория</t>
  </si>
  <si>
    <t>Губанова Евгения</t>
  </si>
  <si>
    <t>Гурин Никита</t>
  </si>
  <si>
    <t>Давлетбакова Эльвира</t>
  </si>
  <si>
    <t>Даниленко Даниил</t>
  </si>
  <si>
    <t>Данилов Денис</t>
  </si>
  <si>
    <t>Дмитриев Роман</t>
  </si>
  <si>
    <t>Додан Тома</t>
  </si>
  <si>
    <t>Дронова Евгения</t>
  </si>
  <si>
    <t>Егоров Роман</t>
  </si>
  <si>
    <t>Ельцов Иван</t>
  </si>
  <si>
    <t>Ефимова Наталия</t>
  </si>
  <si>
    <t>Жукова Ольга</t>
  </si>
  <si>
    <t>Зайнулина Елена</t>
  </si>
  <si>
    <t>Захарченко Артем</t>
  </si>
  <si>
    <t>Земцовская Евгения</t>
  </si>
  <si>
    <t>Зуев Филипп</t>
  </si>
  <si>
    <t>Зюзина Анна</t>
  </si>
  <si>
    <t>Иваненко Сергей</t>
  </si>
  <si>
    <t>Иванова Елена</t>
  </si>
  <si>
    <t>Игумнова Александра</t>
  </si>
  <si>
    <t>Ищенко Олег</t>
  </si>
  <si>
    <t>Казакова Регина</t>
  </si>
  <si>
    <t>Калашников Дмитрий</t>
  </si>
  <si>
    <t>Камленок Ольга</t>
  </si>
  <si>
    <t>Карасев Сергей</t>
  </si>
  <si>
    <t>Кедровская Наталья</t>
  </si>
  <si>
    <t>Ким Алла</t>
  </si>
  <si>
    <t>Киреев Антон</t>
  </si>
  <si>
    <t>Клоков Максим</t>
  </si>
  <si>
    <t>Ключников Егор</t>
  </si>
  <si>
    <t>Коблова Анна</t>
  </si>
  <si>
    <t>Ковалева Елена</t>
  </si>
  <si>
    <t>Коваленко Денис</t>
  </si>
  <si>
    <t>Ковтун Дмитрий</t>
  </si>
  <si>
    <t>Козловская Светлана</t>
  </si>
  <si>
    <t>Козьменко Андрей</t>
  </si>
  <si>
    <t>Кондратьев Алексей</t>
  </si>
  <si>
    <t>Кондрашова Елена</t>
  </si>
  <si>
    <t>Коновалова Юлия</t>
  </si>
  <si>
    <t>Копытов Николай</t>
  </si>
  <si>
    <t>Кочеткова Алина</t>
  </si>
  <si>
    <t>Красноперов Андрей</t>
  </si>
  <si>
    <t>Кудинова Наталья</t>
  </si>
  <si>
    <t>Кузнецов Илья</t>
  </si>
  <si>
    <t>Кузьмина Юлия</t>
  </si>
  <si>
    <t>Купцов Владислав</t>
  </si>
  <si>
    <t>Лагуткина Елена</t>
  </si>
  <si>
    <t>Лазаренко Инна</t>
  </si>
  <si>
    <t>Ларина Ольга</t>
  </si>
  <si>
    <t>Левочкина Ольга</t>
  </si>
  <si>
    <t>Липина Ирина</t>
  </si>
  <si>
    <t>Лосева Татьяна</t>
  </si>
  <si>
    <t>Лукиянов Владимир</t>
  </si>
  <si>
    <t>Луконин Михаил</t>
  </si>
  <si>
    <t>Лукьянова Янина</t>
  </si>
  <si>
    <t>Люднова Юлия</t>
  </si>
  <si>
    <t>Малеева Татьяна</t>
  </si>
  <si>
    <t>Маматов Владимир</t>
  </si>
  <si>
    <t>Матвеев Кирилл</t>
  </si>
  <si>
    <t>Матвеева Светлана</t>
  </si>
  <si>
    <t>Метельков Станислав</t>
  </si>
  <si>
    <t>Миронова Наталья</t>
  </si>
  <si>
    <t>Михаленко Константин</t>
  </si>
  <si>
    <t>Михальченко Людмила</t>
  </si>
  <si>
    <t>Мура Максим</t>
  </si>
  <si>
    <t>Мурашкин Владимир</t>
  </si>
  <si>
    <t>Низамутдинова Люция</t>
  </si>
  <si>
    <t>Носиков Сергей</t>
  </si>
  <si>
    <t>Огнева Евгения</t>
  </si>
  <si>
    <t>Огородников Максим</t>
  </si>
  <si>
    <t>Осташева Ольга</t>
  </si>
  <si>
    <t>Панасейко Артем</t>
  </si>
  <si>
    <t>Панченко Светлана</t>
  </si>
  <si>
    <t>Перетокина Майя</t>
  </si>
  <si>
    <t>Петещенкова Ирина</t>
  </si>
  <si>
    <t>Петренко Роман</t>
  </si>
  <si>
    <t>Петрова Юлия</t>
  </si>
  <si>
    <t>Платов Дмитрий</t>
  </si>
  <si>
    <t>Плеханова Лилия</t>
  </si>
  <si>
    <t>Плотникова Ольга</t>
  </si>
  <si>
    <t>Поклад Сергей</t>
  </si>
  <si>
    <t>Полищук Галина</t>
  </si>
  <si>
    <t>Полякова Татьяна</t>
  </si>
  <si>
    <t>Пономарев Роман</t>
  </si>
  <si>
    <t>Проскурякова Наталья</t>
  </si>
  <si>
    <t>Прудникова Елена</t>
  </si>
  <si>
    <t>Пуганов Михаил</t>
  </si>
  <si>
    <t>Рашова Анна</t>
  </si>
  <si>
    <t>Ремпель Юлия</t>
  </si>
  <si>
    <t>Родина Ольга</t>
  </si>
  <si>
    <t>Романов Максим</t>
  </si>
  <si>
    <t>Русанова Ольга</t>
  </si>
  <si>
    <t>Рыжиков Виктор</t>
  </si>
  <si>
    <t>Савченко Владимир</t>
  </si>
  <si>
    <t>Садовский Дмитрий</t>
  </si>
  <si>
    <t>Салихова Елена</t>
  </si>
  <si>
    <t>Сапунова Елена</t>
  </si>
  <si>
    <t>Скрипкина Оксана</t>
  </si>
  <si>
    <t>Слепко Екатерина</t>
  </si>
  <si>
    <t>Соловьева Ольга</t>
  </si>
  <si>
    <t>Спиридонова Яна</t>
  </si>
  <si>
    <t>Степанычев Алексей</t>
  </si>
  <si>
    <t>Стрелкова Екатерина</t>
  </si>
  <si>
    <t>Стрельцов Владимир</t>
  </si>
  <si>
    <t>Сутормина Валерия</t>
  </si>
  <si>
    <t>Суханова Ольга</t>
  </si>
  <si>
    <t>Татуйко Ольга</t>
  </si>
  <si>
    <t>Твалчрелидзе Георгий</t>
  </si>
  <si>
    <t>Терентьева Ирина</t>
  </si>
  <si>
    <t>Тетерина Людмила</t>
  </si>
  <si>
    <t>Тихонова Наталья</t>
  </si>
  <si>
    <t>Толкачева Юлия</t>
  </si>
  <si>
    <t>Трепакова Татьяна</t>
  </si>
  <si>
    <t>Тростонецкий Игорь</t>
  </si>
  <si>
    <t>Тур Николай</t>
  </si>
  <si>
    <t>Турченко Максим</t>
  </si>
  <si>
    <t>Тюханова Лариса</t>
  </si>
  <si>
    <t>Усенова Валентина</t>
  </si>
  <si>
    <t>Федорков Даниэль</t>
  </si>
  <si>
    <t>Филатов Алексей</t>
  </si>
  <si>
    <t>Филимонова Екатерина</t>
  </si>
  <si>
    <t>Фролов Сергей</t>
  </si>
  <si>
    <t>Харитонова Татьяна</t>
  </si>
  <si>
    <t>Хаустова Елена</t>
  </si>
  <si>
    <t>Ходжибекова Гаяна</t>
  </si>
  <si>
    <t>Царева Екатерина</t>
  </si>
  <si>
    <t>Чистякова Анна</t>
  </si>
  <si>
    <t>Шахман Инна</t>
  </si>
  <si>
    <t>Шелудько Антон</t>
  </si>
  <si>
    <t>Шестун Алексей</t>
  </si>
  <si>
    <t>Шинкаренко Надежда</t>
  </si>
  <si>
    <t>Шмидт Елена</t>
  </si>
  <si>
    <t>Юсова Мария</t>
  </si>
  <si>
    <t>Юсубова Наталья</t>
  </si>
  <si>
    <t>Яньков Роман</t>
  </si>
  <si>
    <t>Сахабутдинова Вероника</t>
  </si>
  <si>
    <t>Шадрин Виталий</t>
  </si>
  <si>
    <t>ShadrinV</t>
  </si>
  <si>
    <r>
      <t xml:space="preserve">Зарегистрируйте авансовый отчет.
Для этого зайдите в программу " Документооборот" - создайте " Авансовый отчет", заполнив все нужные поля и </t>
    </r>
    <r>
      <rPr>
        <b/>
        <sz val="10"/>
        <rFont val="Arial Cyr"/>
        <charset val="204"/>
      </rPr>
      <t>ЗАРЕГИСТРИРУЙТЕ</t>
    </r>
    <r>
      <rPr>
        <sz val="10"/>
        <rFont val="Arial Cyr"/>
        <charset val="204"/>
      </rPr>
      <t xml:space="preserve"> его.
Вам присвоиться номер. Этот номер указываем в поле Регистрационный номер.</t>
    </r>
  </si>
  <si>
    <t>5.</t>
  </si>
  <si>
    <t>6.</t>
  </si>
  <si>
    <t xml:space="preserve">Сохранить файл как - а/о регистрационный номер тип файла " Книга Excel с поддержкой макросов" </t>
  </si>
  <si>
    <t xml:space="preserve">7. </t>
  </si>
  <si>
    <t>Прикрепите  к авансовому отчету  сканы чеков</t>
  </si>
  <si>
    <t xml:space="preserve">Вставьте файл в созданный Авансовый отчет в программе " Документооборот" </t>
  </si>
  <si>
    <t xml:space="preserve">8. </t>
  </si>
  <si>
    <t>Создайте если нужно связи с документами такими как командировка, акт и протокол, запрос на компенсацию</t>
  </si>
  <si>
    <r>
      <t>"</t>
    </r>
    <r>
      <rPr>
        <b/>
        <sz val="10"/>
        <rFont val="Arial Cyr"/>
        <charset val="204"/>
      </rPr>
      <t>Остаток авансового отчета</t>
    </r>
    <r>
      <rPr>
        <sz val="10"/>
        <rFont val="Arial Cyr"/>
        <charset val="204"/>
      </rPr>
      <t>" и "</t>
    </r>
    <r>
      <rPr>
        <b/>
        <sz val="10"/>
        <rFont val="Arial Cyr"/>
        <charset val="204"/>
      </rPr>
      <t>Перерасход</t>
    </r>
    <r>
      <rPr>
        <sz val="10"/>
        <rFont val="Arial Cyr"/>
        <charset val="204"/>
      </rPr>
      <t>" необходимо заполнить:
      -если есть остаток предыдущего аванса, то заполняется ячейка "</t>
    </r>
    <r>
      <rPr>
        <b/>
        <sz val="10"/>
        <rFont val="Arial Cyr"/>
        <charset val="204"/>
      </rPr>
      <t>Остаток авансового отчета</t>
    </r>
    <r>
      <rPr>
        <sz val="10"/>
        <rFont val="Arial Cyr"/>
        <charset val="204"/>
      </rPr>
      <t>",
      -если был перерасход по предыдущему авансу, заполняется ячейка "</t>
    </r>
    <r>
      <rPr>
        <b/>
        <sz val="10"/>
        <rFont val="Arial Cyr"/>
        <charset val="204"/>
      </rPr>
      <t>Перерасход</t>
    </r>
    <r>
      <rPr>
        <sz val="10"/>
        <rFont val="Arial Cyr"/>
        <charset val="204"/>
      </rPr>
      <t>".  
 В противном случае оставьте пустыми.
 За остатком необходимо следить самостоятельно. При этом, можно свериться с данными бухгалтерии.
 Еженедельная выгрузка располагается  на общем диске по адресу "</t>
    </r>
    <r>
      <rPr>
        <u/>
        <sz val="10"/>
        <color theme="4" tint="-0.249977111117893"/>
        <rFont val="Arial Cyr"/>
        <charset val="204"/>
      </rPr>
      <t>K:\Авансовые отчеты</t>
    </r>
    <r>
      <rPr>
        <sz val="10"/>
        <rFont val="Arial Cyr"/>
        <charset val="204"/>
      </rPr>
      <t>".</t>
    </r>
  </si>
  <si>
    <r>
      <t xml:space="preserve">Если выбран вид расходов "Суточные по России"* или "Суточные за границу"**, автоматически появляется заполненная следующая строка с видом расходов "Суточные с/норм". Не удаляйте её! Она обязательно должна быть.
</t>
    </r>
    <r>
      <rPr>
        <sz val="8"/>
        <rFont val="Arial Cyr"/>
        <charset val="204"/>
      </rPr>
      <t xml:space="preserve"> * "Суточные по России", в следующей строке "Суточные с/норм" в графе "Количество/признак"  дублируется количество дней суточных.</t>
    </r>
    <r>
      <rPr>
        <sz val="10"/>
        <rFont val="Arial Cyr"/>
        <charset val="204"/>
      </rPr>
      <t xml:space="preserve">
</t>
    </r>
    <r>
      <rPr>
        <sz val="8"/>
        <rFont val="Arial Cyr"/>
        <charset val="204"/>
      </rPr>
      <t xml:space="preserve">** "Суточные за границу", в следующей строке "Суточные с/норм" в графе "Количество/признак" количество дней суточных = 1, т.к. даже при поездке за границу считается,
 что один день Вы находитесь в России. </t>
    </r>
  </si>
  <si>
    <r>
      <t>В графе "</t>
    </r>
    <r>
      <rPr>
        <b/>
        <sz val="10"/>
        <rFont val="Arial Cyr"/>
        <charset val="204"/>
      </rPr>
      <t>Количество/признак</t>
    </r>
    <r>
      <rPr>
        <sz val="10"/>
        <rFont val="Arial Cyr"/>
        <charset val="204"/>
      </rPr>
      <t>" укажите:
Если выбран вид расходов "</t>
    </r>
    <r>
      <rPr>
        <b/>
        <sz val="10"/>
        <rFont val="Arial Cyr"/>
        <charset val="204"/>
      </rPr>
      <t>Суточные ...</t>
    </r>
    <r>
      <rPr>
        <sz val="10"/>
        <rFont val="Arial Cyr"/>
        <charset val="204"/>
      </rPr>
      <t xml:space="preserve">", укажите количество дней командировки.
Если в запросе стоит признак </t>
    </r>
    <r>
      <rPr>
        <b/>
        <sz val="10"/>
        <color rgb="FFFF0000"/>
        <rFont val="Arial Cyr"/>
        <charset val="204"/>
      </rPr>
      <t>ПРИБЫЛЬ</t>
    </r>
    <r>
      <rPr>
        <sz val="10"/>
        <rFont val="Arial Cyr"/>
        <charset val="204"/>
      </rPr>
      <t>, то укажите "</t>
    </r>
    <r>
      <rPr>
        <b/>
        <sz val="10"/>
        <rFont val="Arial Cyr"/>
        <charset val="204"/>
      </rPr>
      <t>Прибыль</t>
    </r>
    <r>
      <rPr>
        <sz val="10"/>
        <rFont val="Arial Cyr"/>
        <charset val="204"/>
      </rPr>
      <t>".
Если гостиница или билеты оплачены наличными или корпоративной картой самостоятельно, а не через агентство, то укажите "</t>
    </r>
    <r>
      <rPr>
        <b/>
        <sz val="10"/>
        <rFont val="Arial Cyr"/>
        <charset val="204"/>
      </rPr>
      <t>Наличные</t>
    </r>
    <r>
      <rPr>
        <sz val="10"/>
        <rFont val="Arial Cyr"/>
        <charset val="204"/>
      </rPr>
      <t>"
Если нет документов, подтверждающих расходы, выберите из ниспадающего списка пункт "</t>
    </r>
    <r>
      <rPr>
        <b/>
        <sz val="10"/>
        <rFont val="Arial Cyr"/>
        <charset val="204"/>
      </rPr>
      <t>Нет подтв.</t>
    </r>
    <r>
      <rPr>
        <sz val="10"/>
        <rFont val="Arial Cyr"/>
        <charset val="204"/>
      </rPr>
      <t>"</t>
    </r>
    <r>
      <rPr>
        <sz val="10"/>
        <color rgb="FFFF0000"/>
        <rFont val="Arial Cyr"/>
        <charset val="204"/>
      </rPr>
      <t xml:space="preserve">
</t>
    </r>
    <r>
      <rPr>
        <sz val="10"/>
        <rFont val="Arial Cyr"/>
        <charset val="204"/>
      </rPr>
      <t>Во всех остальных случае оставьте эту графу без изменения.</t>
    </r>
  </si>
  <si>
    <t>9.</t>
  </si>
  <si>
    <t>Сохраните и Запустите в обработку</t>
  </si>
  <si>
    <t>10.</t>
  </si>
  <si>
    <t>После электронного согласования предостатьте Авансовый отчет вместе с документами в бухгалтерию!!!</t>
  </si>
  <si>
    <t>Согласование и оформление Авансового отчета происходит в программе "ДОКУМЕНТООБОРОТ"</t>
  </si>
  <si>
    <t>-
-
-
-
-
-
-</t>
  </si>
  <si>
    <r>
      <t>Заполните графы: "</t>
    </r>
    <r>
      <rPr>
        <b/>
        <sz val="10"/>
        <rFont val="Arial Cyr"/>
        <charset val="204"/>
      </rPr>
      <t>Регистрационный номер</t>
    </r>
    <r>
      <rPr>
        <sz val="10"/>
        <rFont val="Arial Cyr"/>
        <charset val="204"/>
      </rPr>
      <t>", "</t>
    </r>
    <r>
      <rPr>
        <b/>
        <sz val="10"/>
        <rFont val="Arial Cyr"/>
        <charset val="204"/>
      </rPr>
      <t>Дата</t>
    </r>
    <r>
      <rPr>
        <sz val="10"/>
        <rFont val="Arial Cyr"/>
        <charset val="204"/>
      </rPr>
      <t>", "</t>
    </r>
    <r>
      <rPr>
        <b/>
        <sz val="10"/>
        <rFont val="Arial Cyr"/>
        <charset val="204"/>
      </rPr>
      <t>ФИО</t>
    </r>
    <r>
      <rPr>
        <sz val="10"/>
        <rFont val="Arial Cyr"/>
        <charset val="204"/>
      </rPr>
      <t>", "</t>
    </r>
    <r>
      <rPr>
        <b/>
        <sz val="10"/>
        <rFont val="Arial Cyr"/>
        <charset val="204"/>
      </rPr>
      <t>Назначение аванса</t>
    </r>
    <r>
      <rPr>
        <sz val="10"/>
        <rFont val="Arial Cyr"/>
        <charset val="204"/>
      </rPr>
      <t>", сумма аванса в графе "</t>
    </r>
    <r>
      <rPr>
        <b/>
        <sz val="10"/>
        <rFont val="Arial Cyr"/>
        <charset val="204"/>
      </rPr>
      <t>Получено</t>
    </r>
    <r>
      <rPr>
        <sz val="10"/>
        <rFont val="Arial Cyr"/>
        <charset val="204"/>
      </rPr>
      <t>", "</t>
    </r>
    <r>
      <rPr>
        <b/>
        <sz val="10"/>
        <rFont val="Arial Cyr"/>
        <charset val="204"/>
      </rPr>
      <t>Способ получения денежных средств</t>
    </r>
    <r>
      <rPr>
        <sz val="10"/>
        <rFont val="Arial Cyr"/>
        <charset val="204"/>
      </rPr>
      <t>", "</t>
    </r>
    <r>
      <rPr>
        <b/>
        <sz val="10"/>
        <rFont val="Arial Cyr"/>
        <charset val="204"/>
      </rPr>
      <t>Количество документов</t>
    </r>
    <r>
      <rPr>
        <sz val="10"/>
        <rFont val="Arial Cyr"/>
        <charset val="204"/>
      </rPr>
      <t>" и "</t>
    </r>
    <r>
      <rPr>
        <b/>
        <sz val="10"/>
        <rFont val="Arial Cyr"/>
        <charset val="204"/>
      </rPr>
      <t>Количество</t>
    </r>
    <r>
      <rPr>
        <sz val="10"/>
        <rFont val="Arial Cyr"/>
        <charset val="204"/>
      </rPr>
      <t xml:space="preserve"> </t>
    </r>
    <r>
      <rPr>
        <b/>
        <sz val="10"/>
        <rFont val="Arial Cyr"/>
        <charset val="204"/>
      </rPr>
      <t>листов</t>
    </r>
    <r>
      <rPr>
        <sz val="10"/>
        <rFont val="Arial Cyr"/>
        <charset val="204"/>
      </rPr>
      <t>".
"</t>
    </r>
    <r>
      <rPr>
        <b/>
        <sz val="10"/>
        <rFont val="Arial Cyr"/>
        <charset val="204"/>
      </rPr>
      <t>Регистрационный номер</t>
    </r>
    <r>
      <rPr>
        <sz val="10"/>
        <rFont val="Arial Cyr"/>
        <charset val="204"/>
      </rPr>
      <t>" и "</t>
    </r>
    <r>
      <rPr>
        <b/>
        <sz val="10"/>
        <rFont val="Arial Cyr"/>
        <charset val="204"/>
      </rPr>
      <t>Дата авансового отчета</t>
    </r>
    <r>
      <rPr>
        <sz val="10"/>
        <rFont val="Arial Cyr"/>
        <charset val="204"/>
      </rPr>
      <t xml:space="preserve">" - берутся из программы " </t>
    </r>
    <r>
      <rPr>
        <b/>
        <sz val="10"/>
        <rFont val="Arial Cyr"/>
        <charset val="204"/>
      </rPr>
      <t>Документооборот</t>
    </r>
    <r>
      <rPr>
        <sz val="10"/>
        <rFont val="Arial Cyr"/>
        <charset val="204"/>
      </rPr>
      <t>"
"</t>
    </r>
    <r>
      <rPr>
        <b/>
        <sz val="10"/>
        <rFont val="Arial Cyr"/>
        <charset val="204"/>
      </rPr>
      <t>ФИО</t>
    </r>
    <r>
      <rPr>
        <sz val="10"/>
        <rFont val="Arial Cyr"/>
        <charset val="204"/>
      </rPr>
      <t>" выберите из списка.
"</t>
    </r>
    <r>
      <rPr>
        <b/>
        <sz val="10"/>
        <rFont val="Arial Cyr"/>
        <charset val="204"/>
      </rPr>
      <t>Получено</t>
    </r>
    <r>
      <rPr>
        <sz val="10"/>
        <rFont val="Arial Cyr"/>
        <charset val="204"/>
      </rPr>
      <t>", "</t>
    </r>
    <r>
      <rPr>
        <b/>
        <sz val="10"/>
        <rFont val="Arial Cyr"/>
        <charset val="204"/>
      </rPr>
      <t>Способ получения денежных средств</t>
    </r>
    <r>
      <rPr>
        <sz val="10"/>
        <rFont val="Arial Cyr"/>
        <charset val="204"/>
      </rPr>
      <t>" -заполните КАССА, если получали аванс или КАРТА, если производили оплату корпоративной картой, в противном случае оставьте пустым.
"</t>
    </r>
    <r>
      <rPr>
        <b/>
        <sz val="10"/>
        <rFont val="Arial Cyr"/>
        <charset val="204"/>
      </rPr>
      <t>Количество документов</t>
    </r>
    <r>
      <rPr>
        <sz val="10"/>
        <rFont val="Arial Cyr"/>
        <charset val="204"/>
      </rPr>
      <t>"- укажите общее количество документов приложенных к авансовому отчету.
"</t>
    </r>
    <r>
      <rPr>
        <b/>
        <sz val="10"/>
        <rFont val="Arial Cyr"/>
        <charset val="204"/>
      </rPr>
      <t>Количество листов</t>
    </r>
    <r>
      <rPr>
        <sz val="10"/>
        <rFont val="Arial Cyr"/>
        <charset val="204"/>
      </rPr>
      <t>"-укажите общее количество листов А4, к которым прикреплены документы.</t>
    </r>
  </si>
  <si>
    <t>Z94K341CBJR024456</t>
  </si>
  <si>
    <t>126FC024456</t>
  </si>
  <si>
    <t>Жаргалов Баир</t>
  </si>
  <si>
    <t>Жаргалов Б.</t>
  </si>
  <si>
    <t>Коломыцева Анна</t>
  </si>
  <si>
    <t>Коломыцева А.</t>
  </si>
  <si>
    <t>KolomitsevaA</t>
  </si>
  <si>
    <t>SakhabutdinovaV</t>
  </si>
  <si>
    <t>Эппнер Дирк</t>
  </si>
  <si>
    <t>Plane No</t>
  </si>
  <si>
    <t>K079PK777</t>
  </si>
  <si>
    <t>Категорийный менеджер</t>
  </si>
  <si>
    <t>*5018</t>
  </si>
  <si>
    <t>*5866</t>
  </si>
  <si>
    <t>*5390</t>
  </si>
  <si>
    <t>*2507</t>
  </si>
  <si>
    <t>Елагина Анастасия</t>
  </si>
  <si>
    <t>Жаркова Екатерина</t>
  </si>
  <si>
    <t>Жаркова Е.</t>
  </si>
  <si>
    <t>*3111</t>
  </si>
  <si>
    <t>Крылова Дарья</t>
  </si>
  <si>
    <t>Крылова Д.</t>
  </si>
  <si>
    <t>Специалист по кадровым вопросам</t>
  </si>
  <si>
    <t>*3973</t>
  </si>
  <si>
    <t>*5822</t>
  </si>
  <si>
    <t>*9804</t>
  </si>
  <si>
    <t>*8869</t>
  </si>
  <si>
    <t>Старков Р.</t>
  </si>
  <si>
    <t>*5740</t>
  </si>
  <si>
    <t>*0723</t>
  </si>
  <si>
    <t>*7913</t>
  </si>
  <si>
    <t>SAP</t>
  </si>
  <si>
    <t>Василицин А.</t>
  </si>
  <si>
    <t>126FC014863</t>
  </si>
  <si>
    <t>Дорош Дмитрий</t>
  </si>
  <si>
    <t>Дорош Д.</t>
  </si>
  <si>
    <t>Территориальный представитель по продажам, г. Севастополь</t>
  </si>
  <si>
    <t>Z6F5XXEEC5FT04169</t>
  </si>
  <si>
    <t>126FC004169</t>
  </si>
  <si>
    <t>DoroshD</t>
  </si>
  <si>
    <t>O027PM777</t>
  </si>
  <si>
    <t>ZhargalovB</t>
  </si>
  <si>
    <t>Z6FKXXEEBKFC86067</t>
  </si>
  <si>
    <t>126FC086067</t>
  </si>
  <si>
    <t>ZharkovaE</t>
  </si>
  <si>
    <t>Y199HK199</t>
  </si>
  <si>
    <t>126FC088830</t>
  </si>
  <si>
    <t>B445HX777</t>
  </si>
  <si>
    <t>Z6FKXXEEBKFD88956</t>
  </si>
  <si>
    <t>126FC088956</t>
  </si>
  <si>
    <t>K276BM750</t>
  </si>
  <si>
    <t>MerezhkoT</t>
  </si>
  <si>
    <t>Y083YT777</t>
  </si>
  <si>
    <t>StarkovR</t>
  </si>
  <si>
    <t>Черненко Дмитрий</t>
  </si>
  <si>
    <t>Черненко Д.</t>
  </si>
  <si>
    <t>Z6FDXXEECDGL21474</t>
  </si>
  <si>
    <t>126FC021474</t>
  </si>
  <si>
    <t>ChernenkoD</t>
  </si>
  <si>
    <t>Y478TC777</t>
  </si>
  <si>
    <t>ChistyakovaA</t>
  </si>
  <si>
    <t>Шадрин В.</t>
  </si>
  <si>
    <t>Эппнер Д.</t>
  </si>
  <si>
    <t>Гельман Максим</t>
  </si>
  <si>
    <t>Координатор по мерчендайзингу</t>
  </si>
  <si>
    <t>GelmaM</t>
  </si>
  <si>
    <t>Никифоров Михаил</t>
  </si>
  <si>
    <t>Никифоров М.</t>
  </si>
  <si>
    <t>NikiforovM</t>
  </si>
  <si>
    <t>Номеровкина В.</t>
  </si>
  <si>
    <t>B327HC777</t>
  </si>
  <si>
    <t>B371HC777</t>
  </si>
  <si>
    <t>A016CA750</t>
  </si>
  <si>
    <t>Y041TC777</t>
  </si>
  <si>
    <t>K225AH799</t>
  </si>
  <si>
    <t>K056PK777</t>
  </si>
  <si>
    <t>B630HC777</t>
  </si>
  <si>
    <t>K279BM750</t>
  </si>
  <si>
    <t>A013CA750</t>
  </si>
  <si>
    <t>K071PK777</t>
  </si>
  <si>
    <t>C990PO777</t>
  </si>
  <si>
    <t>Y503TC777</t>
  </si>
  <si>
    <t>A058CA750</t>
  </si>
  <si>
    <t>M797CO750</t>
  </si>
  <si>
    <t>Y069TC777</t>
  </si>
  <si>
    <t>Y127YT777</t>
  </si>
  <si>
    <t>P037TE777</t>
  </si>
  <si>
    <t>K249BM750</t>
  </si>
  <si>
    <t>A024CA750</t>
  </si>
  <si>
    <t>K110PK777</t>
  </si>
  <si>
    <t>A025CA750</t>
  </si>
  <si>
    <t>Y039TC777</t>
  </si>
  <si>
    <t>K017TH777</t>
  </si>
  <si>
    <t>X282EX197</t>
  </si>
  <si>
    <t>K880ET70</t>
  </si>
  <si>
    <t>T406OK777</t>
  </si>
  <si>
    <t>O377CY777</t>
  </si>
  <si>
    <t>B377HX777</t>
  </si>
  <si>
    <t>Y156YT777</t>
  </si>
  <si>
    <t>P135TE777</t>
  </si>
  <si>
    <t>C987PO777</t>
  </si>
  <si>
    <t>K087PK777</t>
  </si>
  <si>
    <t>O051PM777</t>
  </si>
  <si>
    <t>O281CY777</t>
  </si>
  <si>
    <t>O045PM777</t>
  </si>
  <si>
    <t>E145YM777</t>
  </si>
  <si>
    <t>P097TE777</t>
  </si>
  <si>
    <t>X157MX197</t>
  </si>
  <si>
    <t>K269BM750</t>
  </si>
  <si>
    <t>T449OK777</t>
  </si>
  <si>
    <t>O219CY777</t>
  </si>
  <si>
    <t>Y760XK777</t>
  </si>
  <si>
    <t>K277BM750</t>
  </si>
  <si>
    <t>K064PK777</t>
  </si>
  <si>
    <t>AndronovaA</t>
  </si>
  <si>
    <t>H853AM799</t>
  </si>
  <si>
    <t>K645BX799</t>
  </si>
  <si>
    <t>P169TE777</t>
  </si>
  <si>
    <t>*3777</t>
  </si>
  <si>
    <t>*0005</t>
  </si>
  <si>
    <t>Z6FBXXESWBJB14863</t>
  </si>
  <si>
    <t>O002TB750</t>
  </si>
  <si>
    <t>Z6F5XXEEC5GA13648</t>
  </si>
  <si>
    <t>P171TE777</t>
  </si>
  <si>
    <t>Z6F5XXEEC5GL21633</t>
  </si>
  <si>
    <t>O262CY777</t>
  </si>
  <si>
    <t>*0008</t>
  </si>
  <si>
    <t>Колодяжная Диана</t>
  </si>
  <si>
    <t>Колодяжная Д.</t>
  </si>
  <si>
    <t>Колосов Алексей</t>
  </si>
  <si>
    <t>Колосов А.</t>
  </si>
  <si>
    <t>Z94K241BBJR065292</t>
  </si>
  <si>
    <t>K641BX799</t>
  </si>
  <si>
    <t>Z94K341CBJR073860</t>
  </si>
  <si>
    <t>K579BX799</t>
  </si>
  <si>
    <t>Z94K241BBJR064915</t>
  </si>
  <si>
    <t>K574BX799</t>
  </si>
  <si>
    <t>Осипова Венера</t>
  </si>
  <si>
    <t>Осипова В.</t>
  </si>
  <si>
    <t>Z94K241BBJR065185</t>
  </si>
  <si>
    <t>K694BX799</t>
  </si>
  <si>
    <t>Симонова Галина</t>
  </si>
  <si>
    <t>Симонова Г.</t>
  </si>
  <si>
    <t>Токарев Евгений</t>
  </si>
  <si>
    <t>Токарев Е.</t>
  </si>
  <si>
    <t>Z6F5XXEEC5FT03590</t>
  </si>
  <si>
    <t>126FC003590</t>
  </si>
  <si>
    <t>C915PO777</t>
  </si>
  <si>
    <t>Z94K341CBJR066002</t>
  </si>
  <si>
    <t>K578BX799</t>
  </si>
  <si>
    <t>WAUZZZ8R6HA036802</t>
  </si>
  <si>
    <t>EppnerD</t>
  </si>
  <si>
    <t>A838TX777</t>
  </si>
  <si>
    <t>ZhuravlevaA</t>
  </si>
  <si>
    <t>KolodyazhnayaD</t>
  </si>
  <si>
    <t>KolosovA</t>
  </si>
  <si>
    <t>OsipovaV</t>
  </si>
  <si>
    <t>SimonovaG</t>
  </si>
  <si>
    <t>TokarevE</t>
  </si>
  <si>
    <t>Алексеева Юлия</t>
  </si>
  <si>
    <t>Алексеева Ю.</t>
  </si>
  <si>
    <t>Департамент направления дермокосметики</t>
  </si>
  <si>
    <t>Руководитель отдела медицинского продвижения</t>
  </si>
  <si>
    <t>AlekseevaJ</t>
  </si>
  <si>
    <t>ChudnovskyP</t>
  </si>
  <si>
    <t>Департамент маркетинга. Отдел маркетинга категории "Уход за собой"</t>
  </si>
  <si>
    <t>Департамент продаж</t>
  </si>
  <si>
    <t>Директор департамента продаж</t>
  </si>
  <si>
    <t>Департамент торгового маркетинга. Отдел категорийного менеджмента</t>
  </si>
  <si>
    <t>Департамент маркетинга. Отдел маркетинга категории "Уход за кожей"</t>
  </si>
  <si>
    <t xml:space="preserve">Руководитель отдела категорийного менеджмента. </t>
  </si>
  <si>
    <t>Департамент логистики. Отдел по работе с клиентами и логистики.</t>
  </si>
  <si>
    <t>Руководитель отдела по работе с клиентами и логистики</t>
  </si>
  <si>
    <t xml:space="preserve">Департамент по работе с персоналом </t>
  </si>
  <si>
    <t>Василицин Андрей</t>
  </si>
  <si>
    <t>Региональный менеджер по продажам/ Западная Сибирь</t>
  </si>
  <si>
    <t>Старший менеджер по работе с ключевыми клиентами</t>
  </si>
  <si>
    <t>Департамент Маркетинга. Отдел маркетинга мужской категории и исследованиям рынка</t>
  </si>
  <si>
    <t>Региональный категорийный менеджер по непрямым закупкам</t>
  </si>
  <si>
    <t>*0007</t>
  </si>
  <si>
    <t>*0001</t>
  </si>
  <si>
    <t>Выборнов Георгий</t>
  </si>
  <si>
    <t>Выборнов Г.</t>
  </si>
  <si>
    <t>Гильфанова Наталья</t>
  </si>
  <si>
    <t>Территориальный представитель по продажам/ Новокузнецк</t>
  </si>
  <si>
    <t>Специалист по работе с региональными ключевыми клиентами</t>
  </si>
  <si>
    <t>Департамент логистики. Отдел планирования и закупок</t>
  </si>
  <si>
    <t>Руководитель отдела планирования и закупок</t>
  </si>
  <si>
    <t>Территориальный представитель по продажам/ Пермь</t>
  </si>
  <si>
    <t>Административный ассистент Департамента маркетинга</t>
  </si>
  <si>
    <t>Территориальный представитель по продажам/ Тверь</t>
  </si>
  <si>
    <t>Зараковский Михаил</t>
  </si>
  <si>
    <t>Зараковский М.</t>
  </si>
  <si>
    <t>ZarakovskyM</t>
  </si>
  <si>
    <t>Департамент торгового маркетинга. Отдел по управлению эффективностью продаж и прибыльностью</t>
  </si>
  <si>
    <t>Иванова Анастасия</t>
  </si>
  <si>
    <t>Карапетян Арпеник</t>
  </si>
  <si>
    <t>Карапетян А.</t>
  </si>
  <si>
    <t>KarapetyanA</t>
  </si>
  <si>
    <t>Менеджер по электронной коммерции и альтернативным каналам продаж</t>
  </si>
  <si>
    <t>Карпухина Яна</t>
  </si>
  <si>
    <t>Z94K241BBKR102939</t>
  </si>
  <si>
    <t>126FC102939</t>
  </si>
  <si>
    <t>M800CO750</t>
  </si>
  <si>
    <t>Катунова Александра</t>
  </si>
  <si>
    <t>Z94K241BBKR103130</t>
  </si>
  <si>
    <t>126FC103130</t>
  </si>
  <si>
    <t>M781CO750</t>
  </si>
  <si>
    <t>Менеджер по проведению активаций в торговых точках</t>
  </si>
  <si>
    <t>Региональный менеджер по продажам/ Восточная Сибирь</t>
  </si>
  <si>
    <t>Менеджер по административным вопросам</t>
  </si>
  <si>
    <t>Z94K241BBKR102938</t>
  </si>
  <si>
    <t>1005611163</t>
  </si>
  <si>
    <t>126FC102938</t>
  </si>
  <si>
    <t>M833CO750</t>
  </si>
  <si>
    <t>Менеджера по работе с ключевыми клиентами</t>
  </si>
  <si>
    <t>Менеджер по логистическим проектам</t>
  </si>
  <si>
    <t>Ляшенко Яна</t>
  </si>
  <si>
    <t>МАКИЕВСКАЯ Наталия</t>
  </si>
  <si>
    <t>Миронова Анна</t>
  </si>
  <si>
    <t>Руководитель отдела маркетинга категории "Уход за собой"</t>
  </si>
  <si>
    <t>Директор департамента логистики</t>
  </si>
  <si>
    <t>НОМЕРОВКИНА Валерия</t>
  </si>
  <si>
    <t>Региональный категорийный менеджер по закупкам</t>
  </si>
  <si>
    <t>Территориальный</t>
  </si>
  <si>
    <t>Папич Ясмин</t>
  </si>
  <si>
    <t>Папич Я.</t>
  </si>
  <si>
    <t>Z6F4XXECK4FS09120</t>
  </si>
  <si>
    <t>126FC009120</t>
  </si>
  <si>
    <t>PapichY</t>
  </si>
  <si>
    <t>K077PK777</t>
  </si>
  <si>
    <t>Петров Никита</t>
  </si>
  <si>
    <t>Петров Н.</t>
  </si>
  <si>
    <t>Z6F5XXEEC5GA13646</t>
  </si>
  <si>
    <t>126FC013646</t>
  </si>
  <si>
    <t>PetrovN</t>
  </si>
  <si>
    <t>M383TP777</t>
  </si>
  <si>
    <t>Z6F5XXEEC5GL21671</t>
  </si>
  <si>
    <t>126FC021671</t>
  </si>
  <si>
    <t>Решетникова Неля</t>
  </si>
  <si>
    <t>Родионова Анастасия</t>
  </si>
  <si>
    <t>Родионова А.</t>
  </si>
  <si>
    <t>RodionovaA</t>
  </si>
  <si>
    <t>Рыбчинская Татьяна</t>
  </si>
  <si>
    <t>Старков Ренат</t>
  </si>
  <si>
    <t>Талызина Юлия</t>
  </si>
  <si>
    <t>Талызина Ю.</t>
  </si>
  <si>
    <t>специалист по работе с клиентами</t>
  </si>
  <si>
    <t>Темицкий Ярослав</t>
  </si>
  <si>
    <t>TimofeevaV</t>
  </si>
  <si>
    <t>Территориальный представитель по продажам/Смоленск</t>
  </si>
  <si>
    <t>Руководитель отдела планирования и анализа продаж</t>
  </si>
  <si>
    <t>Трясцына Анастасия</t>
  </si>
  <si>
    <t>Уткина Евгения</t>
  </si>
  <si>
    <t>Уткина Е.</t>
  </si>
  <si>
    <t>Менеджер по ценовым промо</t>
  </si>
  <si>
    <t>UtkinaE</t>
  </si>
  <si>
    <t>Региональный менеджер по продажам / Республика Беларусь</t>
  </si>
  <si>
    <t>Чудновский Павел</t>
  </si>
  <si>
    <t>Чудновский П.</t>
  </si>
  <si>
    <t>Руководитель направления дермокосметики</t>
  </si>
  <si>
    <t>Территориальный представитель по продажам/ Барнаул</t>
  </si>
  <si>
    <t>Швейкос Антон</t>
  </si>
  <si>
    <t>Швейкос А.</t>
  </si>
  <si>
    <t>ShveykusA</t>
  </si>
  <si>
    <t>Территориальный представитель по продажам/ Саратов</t>
  </si>
  <si>
    <t>Руководитель группы медиа поддержки</t>
  </si>
  <si>
    <t>Способ оплаты</t>
  </si>
  <si>
    <t>IO</t>
  </si>
  <si>
    <t>Кост-центр</t>
  </si>
  <si>
    <t>Corporate Credit Card</t>
  </si>
  <si>
    <t>Withholding Tax</t>
  </si>
  <si>
    <t>GL Account</t>
  </si>
  <si>
    <t>Credit Card settlement</t>
  </si>
  <si>
    <t>Travel Expenses</t>
  </si>
  <si>
    <t>Yes</t>
  </si>
  <si>
    <t>Fuel, Combustible Consumed</t>
  </si>
  <si>
    <t>No</t>
  </si>
  <si>
    <t>Office Materials</t>
  </si>
  <si>
    <t>Mail / Telecommunication</t>
  </si>
  <si>
    <t>Банковская карта</t>
  </si>
  <si>
    <t>VybornovG</t>
  </si>
  <si>
    <t>M822CO750</t>
  </si>
  <si>
    <t>126FC102896</t>
  </si>
  <si>
    <t>Z94K241BBKR102896</t>
  </si>
  <si>
    <t>Григоренко Михаил</t>
  </si>
  <si>
    <t>GrigorenkoM</t>
  </si>
  <si>
    <t>O048PM777</t>
  </si>
  <si>
    <t>126FC006353</t>
  </si>
  <si>
    <t>Z6F5XXEEC5FJ06353</t>
  </si>
  <si>
    <t>Кочанова Татьяна</t>
  </si>
  <si>
    <t>Кочанова Т.</t>
  </si>
  <si>
    <t>Плотников Максим</t>
  </si>
  <si>
    <t>Плотников М.</t>
  </si>
  <si>
    <t>PlotnikovM</t>
  </si>
  <si>
    <t>SemenovA</t>
  </si>
  <si>
    <t>Тимошкина А.</t>
  </si>
  <si>
    <t>TimoshkinaA</t>
  </si>
  <si>
    <t>Employee number:</t>
  </si>
  <si>
    <r>
      <t xml:space="preserve">В графе </t>
    </r>
    <r>
      <rPr>
        <b/>
        <sz val="10"/>
        <rFont val="Arial Cyr"/>
        <charset val="204"/>
      </rPr>
      <t>"IO</t>
    </r>
    <r>
      <rPr>
        <sz val="10"/>
        <rFont val="Arial Cyr"/>
        <charset val="204"/>
      </rPr>
      <t>" и "</t>
    </r>
    <r>
      <rPr>
        <b/>
        <sz val="10"/>
        <rFont val="Arial Cyr"/>
        <charset val="204"/>
      </rPr>
      <t>Кост-центр</t>
    </r>
    <r>
      <rPr>
        <sz val="10"/>
        <rFont val="Arial Cyr"/>
        <charset val="204"/>
      </rPr>
      <t>" вручную добавляется IO и кост-центр, если он отличается от закрепленного .</t>
    </r>
  </si>
  <si>
    <r>
      <t>В графе "</t>
    </r>
    <r>
      <rPr>
        <b/>
        <sz val="10"/>
        <color rgb="FFFF0000"/>
        <rFont val="Arial Cyr"/>
        <charset val="204"/>
      </rPr>
      <t>Способ оплаты</t>
    </r>
    <r>
      <rPr>
        <sz val="10"/>
        <color rgb="FFFF0000"/>
        <rFont val="Arial Cyr"/>
        <charset val="204"/>
      </rPr>
      <t xml:space="preserve">" из ниспадающего списка выберите способ оплаты </t>
    </r>
    <r>
      <rPr>
        <b/>
        <sz val="10"/>
        <color rgb="FFFF0000"/>
        <rFont val="Arial Cyr"/>
        <charset val="204"/>
      </rPr>
      <t>Наличные</t>
    </r>
    <r>
      <rPr>
        <sz val="10"/>
        <color rgb="FFFF0000"/>
        <rFont val="Arial Cyr"/>
        <charset val="204"/>
      </rPr>
      <t xml:space="preserve"> или </t>
    </r>
    <r>
      <rPr>
        <b/>
        <sz val="10"/>
        <color rgb="FFFF0000"/>
        <rFont val="Arial Cyr"/>
        <charset val="204"/>
      </rPr>
      <t>БАНКОВСКАЯ КАРТА</t>
    </r>
  </si>
  <si>
    <t>командировка на Региональный митинг или Конференцию</t>
  </si>
  <si>
    <r>
      <t>16-18/11/15</t>
    </r>
    <r>
      <rPr>
        <sz val="10"/>
        <color rgb="FFFF0000"/>
        <rFont val="Times New Roman"/>
        <family val="1"/>
        <charset val="204"/>
      </rPr>
      <t xml:space="preserve"> </t>
    </r>
    <r>
      <rPr>
        <b/>
        <sz val="10"/>
        <color rgb="FFFF0000"/>
        <rFont val="Times New Roman"/>
        <family val="1"/>
        <charset val="204"/>
      </rPr>
      <t>РМ</t>
    </r>
  </si>
  <si>
    <r>
      <t xml:space="preserve">16-18/11/15 </t>
    </r>
    <r>
      <rPr>
        <b/>
        <sz val="10"/>
        <color rgb="FFFF0000"/>
        <rFont val="Times New Roman"/>
        <family val="1"/>
        <charset val="204"/>
      </rPr>
      <t>РМ</t>
    </r>
  </si>
  <si>
    <r>
      <t xml:space="preserve">М-Чебоксары-М 16-18/11/15 </t>
    </r>
    <r>
      <rPr>
        <b/>
        <sz val="10"/>
        <color rgb="FFFF0000"/>
        <rFont val="Times New Roman"/>
        <family val="1"/>
        <charset val="204"/>
      </rPr>
      <t>РМ</t>
    </r>
  </si>
  <si>
    <r>
      <t xml:space="preserve">Чебоксары 16-18/11/15  </t>
    </r>
    <r>
      <rPr>
        <b/>
        <sz val="10"/>
        <color rgb="FFFF0000"/>
        <rFont val="Times New Roman"/>
        <family val="1"/>
        <charset val="204"/>
      </rPr>
      <t>РМ</t>
    </r>
  </si>
  <si>
    <t>РМ</t>
  </si>
  <si>
    <t>938</t>
  </si>
  <si>
    <t xml:space="preserve">Минск, Белоруссию </t>
  </si>
  <si>
    <t>665/2019/k</t>
  </si>
  <si>
    <t>18-19.06.2019</t>
  </si>
  <si>
    <t>2</t>
  </si>
  <si>
    <t>5554794272018</t>
  </si>
  <si>
    <t>Минск-Москва 19.06.2019</t>
  </si>
  <si>
    <t>5554794192669</t>
  </si>
  <si>
    <t>Москва-Минск 18.06.2019</t>
  </si>
  <si>
    <t>6287179</t>
  </si>
  <si>
    <t>Минск 18-19.06.2019</t>
  </si>
  <si>
    <t>452946</t>
  </si>
  <si>
    <t>7673,83</t>
  </si>
  <si>
    <t>б.н.</t>
  </si>
  <si>
    <t>1005977719</t>
  </si>
  <si>
    <t>Булашев Игорь</t>
  </si>
  <si>
    <t>Булашев И.</t>
  </si>
  <si>
    <t>BulashevI</t>
  </si>
  <si>
    <t xml:space="preserve"> 1005977727</t>
  </si>
  <si>
    <t xml:space="preserve"> 1005611171</t>
  </si>
  <si>
    <t>Григоренко М.</t>
  </si>
  <si>
    <t>1005977749</t>
  </si>
  <si>
    <t>1005977737</t>
  </si>
  <si>
    <t>1005611188</t>
  </si>
  <si>
    <t>KochanovaT</t>
  </si>
  <si>
    <t>1005977698</t>
  </si>
  <si>
    <t>1005977705</t>
  </si>
  <si>
    <t>*0016</t>
  </si>
  <si>
    <t>Альберг Вероника</t>
  </si>
  <si>
    <t>Альберг В.</t>
  </si>
  <si>
    <t>Ахрамеева П.</t>
  </si>
  <si>
    <t>Гельман М.</t>
  </si>
  <si>
    <t>*0019</t>
  </si>
  <si>
    <t>*8785</t>
  </si>
  <si>
    <t>Мейендорф Татьяна</t>
  </si>
  <si>
    <t>Мейендорф Т.</t>
  </si>
  <si>
    <t>Служебные поездки</t>
  </si>
  <si>
    <t>Департамент дермокосметики.Отдел медицинского продвижения.</t>
  </si>
  <si>
    <t>126FC900015</t>
  </si>
  <si>
    <t>Амиров Руслан</t>
  </si>
  <si>
    <t>Амиров Р.</t>
  </si>
  <si>
    <t>Медицинский представитель</t>
  </si>
  <si>
    <t>AmirovR</t>
  </si>
  <si>
    <t>Багаутдинов Вадим</t>
  </si>
  <si>
    <t>Багаутдинов В.</t>
  </si>
  <si>
    <t>Березнева Олеся</t>
  </si>
  <si>
    <t>Березнева О.</t>
  </si>
  <si>
    <t xml:space="preserve">BereznevaO
</t>
  </si>
  <si>
    <t>Руководитель группы по работе с ключевыми клиентами и развитию бизнеса</t>
  </si>
  <si>
    <t>Журавлева Анна</t>
  </si>
  <si>
    <t>Журавлева А.</t>
  </si>
  <si>
    <t>Золотарева Александра</t>
  </si>
  <si>
    <t>Золотарева А.</t>
  </si>
  <si>
    <t>Департамент дермокосметики.Отдел маркетинга дермокосметики.</t>
  </si>
  <si>
    <t>Административный ассистент</t>
  </si>
  <si>
    <t>Ляшенко Я.</t>
  </si>
  <si>
    <t>Специалист по сервисному обслуживанию информационных систем</t>
  </si>
  <si>
    <t>Прокофьев Денис</t>
  </si>
  <si>
    <t>Прокофьев Д.</t>
  </si>
  <si>
    <t>Старший финансовый контролер</t>
  </si>
  <si>
    <t>Сафонов Николай</t>
  </si>
  <si>
    <t>Сафонов Н.</t>
  </si>
  <si>
    <t>Сахабутдинова В.</t>
  </si>
  <si>
    <t>Святобог Полина</t>
  </si>
  <si>
    <t>Святобог П.</t>
  </si>
  <si>
    <t>Секретарь приемной</t>
  </si>
  <si>
    <t>Семенов Алексей</t>
  </si>
  <si>
    <t>Семенов А.</t>
  </si>
  <si>
    <t>Семенова Д.</t>
  </si>
  <si>
    <t>Тимошкина Анастасия</t>
  </si>
  <si>
    <t>Супервайзер по работе с медицинскими представителями</t>
  </si>
  <si>
    <t>Толкачева Ю.</t>
  </si>
  <si>
    <t>Чиглинцева Ольга</t>
  </si>
  <si>
    <t>Чиглинцева О.</t>
  </si>
  <si>
    <t>Шихалев Алексей</t>
  </si>
  <si>
    <t>Шихалев А.</t>
  </si>
  <si>
    <t>Version 1.0</t>
  </si>
  <si>
    <t>14.10.2019</t>
  </si>
  <si>
    <t>Апоян Армен</t>
  </si>
  <si>
    <t>Апоян А.</t>
  </si>
  <si>
    <t>ApoyanA</t>
  </si>
  <si>
    <t>P181YH750</t>
  </si>
  <si>
    <t>126FC160819</t>
  </si>
  <si>
    <t>Z94K241BBLR160819</t>
  </si>
  <si>
    <t xml:space="preserve">Младшего менеджера по продукту </t>
  </si>
  <si>
    <t>BagautdinovV</t>
  </si>
  <si>
    <t>Барышникова Елена</t>
  </si>
  <si>
    <t>Барышникова Е.</t>
  </si>
  <si>
    <t>бизнес-контролер департамента продаж</t>
  </si>
  <si>
    <t>BaryshnikovaE</t>
  </si>
  <si>
    <t>A068CA750</t>
  </si>
  <si>
    <t>126FC065754</t>
  </si>
  <si>
    <t>Z94K241BBJR065754</t>
  </si>
  <si>
    <t>Исаева Анастасия</t>
  </si>
  <si>
    <t>Исаева А.</t>
  </si>
  <si>
    <t>IsaevaA</t>
  </si>
  <si>
    <t>B364HC777</t>
  </si>
  <si>
    <t>126FC000773</t>
  </si>
  <si>
    <t>Z6FDXXEECDFL00773</t>
  </si>
  <si>
    <t>O318CY777</t>
  </si>
  <si>
    <t>126FC021665</t>
  </si>
  <si>
    <t>Z6F5XXEEC5GL21665</t>
  </si>
  <si>
    <t>Петрова Ксения</t>
  </si>
  <si>
    <t>Петрова К.</t>
  </si>
  <si>
    <t xml:space="preserve">Бренд-менеджера категории «Уход за собой» </t>
  </si>
  <si>
    <t>PetrovaK</t>
  </si>
  <si>
    <t>ProkofyevD</t>
  </si>
  <si>
    <t>SvyatobogP</t>
  </si>
  <si>
    <t>Семенова Дарья</t>
  </si>
  <si>
    <t>B384HX777</t>
  </si>
  <si>
    <t>126FC089209</t>
  </si>
  <si>
    <t>Z6FKXXEEBKFD89209</t>
  </si>
  <si>
    <t>Сухов Алексей</t>
  </si>
  <si>
    <t>Сухов А.</t>
  </si>
  <si>
    <t>SukhovA</t>
  </si>
  <si>
    <t>TalyzinaJ</t>
  </si>
  <si>
    <t>Турова Анна</t>
  </si>
  <si>
    <t>Турова А.</t>
  </si>
  <si>
    <t>TurovaA</t>
  </si>
  <si>
    <t>ассистента по маркетингу в команде «Уход за кожей»</t>
  </si>
  <si>
    <t>ChiglintsevaO</t>
  </si>
  <si>
    <t>Жаркова Анастасия</t>
  </si>
  <si>
    <t>Жаркова А.</t>
  </si>
  <si>
    <t>Минакова Наталья</t>
  </si>
  <si>
    <t>Минакова Н.</t>
  </si>
  <si>
    <t>Попова Анастасия</t>
  </si>
  <si>
    <t>Попова А.</t>
  </si>
  <si>
    <t>Специалист по подбору персонала</t>
  </si>
  <si>
    <t>PopovaA</t>
  </si>
  <si>
    <t>Хромова Кристина</t>
  </si>
  <si>
    <t>Хромова К.</t>
  </si>
  <si>
    <t>A356XY750</t>
  </si>
  <si>
    <t>126FC190080</t>
  </si>
  <si>
    <t>Z94K241BBLR190080</t>
  </si>
  <si>
    <t>Беликов Евгений</t>
  </si>
  <si>
    <t>Беликов Е.</t>
  </si>
  <si>
    <t>BelikovE</t>
  </si>
  <si>
    <t>Z6FDXXEECDFL00712</t>
  </si>
  <si>
    <t>Глухова Анастасия</t>
  </si>
  <si>
    <t>Глухова А.</t>
  </si>
  <si>
    <t>Территориальный представитель города Иваново</t>
  </si>
  <si>
    <t>GluhovaA</t>
  </si>
  <si>
    <t>K029PK777</t>
  </si>
  <si>
    <t>126FC009259</t>
  </si>
  <si>
    <t>Z6F4XXECK4FS09259</t>
  </si>
  <si>
    <t>Гуреева Ольга</t>
  </si>
  <si>
    <t>Гуреева О.</t>
  </si>
  <si>
    <t>Специалист по контенту</t>
  </si>
  <si>
    <t>GureevaO</t>
  </si>
  <si>
    <t>ZharkovaA</t>
  </si>
  <si>
    <t>126FC174472</t>
  </si>
  <si>
    <t>X944XY750</t>
  </si>
  <si>
    <t>126FC192205</t>
  </si>
  <si>
    <t>Z94K341CBLR192205</t>
  </si>
  <si>
    <t>126FC191875</t>
  </si>
  <si>
    <t>Линева Ольга</t>
  </si>
  <si>
    <t>Линева О.</t>
  </si>
  <si>
    <t>LinevaO</t>
  </si>
  <si>
    <t>A387XY750</t>
  </si>
  <si>
    <t>126FC175195</t>
  </si>
  <si>
    <t>Z94K241BBLR175195</t>
  </si>
  <si>
    <t>Мещанина Диана</t>
  </si>
  <si>
    <t>Мещанина Д.</t>
  </si>
  <si>
    <t>Руководитель группы по работе с клиентами</t>
  </si>
  <si>
    <t>MeschaninaD</t>
  </si>
  <si>
    <t>MinakovaN</t>
  </si>
  <si>
    <t>126FC188211</t>
  </si>
  <si>
    <t>P148YH750</t>
  </si>
  <si>
    <t>126FC161149</t>
  </si>
  <si>
    <t>Z94K241BBLR161149</t>
  </si>
  <si>
    <t>P112YH750</t>
  </si>
  <si>
    <t>126FC161148</t>
  </si>
  <si>
    <t>Z94K241BBLR161148</t>
  </si>
  <si>
    <t>O366CY777</t>
  </si>
  <si>
    <t>Скакалина Евгения</t>
  </si>
  <si>
    <t>Скакалина Е.</t>
  </si>
  <si>
    <t>SkakalinaE</t>
  </si>
  <si>
    <t>A392XY750</t>
  </si>
  <si>
    <t>126FC187262</t>
  </si>
  <si>
    <t>Z94K241BBLR187262</t>
  </si>
  <si>
    <t>C989PO777</t>
  </si>
  <si>
    <t>126FC004172</t>
  </si>
  <si>
    <t>Z6F5XXEEC5FT04172</t>
  </si>
  <si>
    <t>H561XH750</t>
  </si>
  <si>
    <t>126FC197888</t>
  </si>
  <si>
    <t>Z94K341CBLR197888</t>
  </si>
  <si>
    <t>Тихонов Евгений</t>
  </si>
  <si>
    <t>Тихонов Е.</t>
  </si>
  <si>
    <t>Территориальный представитель по продажам/ Кострома</t>
  </si>
  <si>
    <t>TihonovE</t>
  </si>
  <si>
    <t>2020 г.</t>
  </si>
  <si>
    <t>Тихомиров Иван</t>
  </si>
  <si>
    <t>Тихомиров И.</t>
  </si>
  <si>
    <t>Менеджер по электронной коммерции</t>
  </si>
  <si>
    <t>Якименко Елена</t>
  </si>
  <si>
    <t>Якименко Е.</t>
  </si>
  <si>
    <t>Территориальный представитель по продажам г. Ростов-на-Дону</t>
  </si>
  <si>
    <t xml:space="preserve">Расходы </t>
  </si>
  <si>
    <t>Конференция</t>
  </si>
  <si>
    <t>Суточные по России Конференция</t>
  </si>
  <si>
    <t>Суточные за границу Конференция</t>
  </si>
  <si>
    <t>зарплатная карта</t>
  </si>
  <si>
    <t>корпоративная карта</t>
  </si>
  <si>
    <t>Дзимидович Станислав</t>
  </si>
  <si>
    <t>Дзимидович С.</t>
  </si>
  <si>
    <t>Завьялова Елизавета</t>
  </si>
  <si>
    <t>Завьялова Е.</t>
  </si>
  <si>
    <t>Ассистент отдела маркетинга</t>
  </si>
  <si>
    <t>Изотова Елена</t>
  </si>
  <si>
    <t>Изотова Е.</t>
  </si>
  <si>
    <t>Капранчикова Юлия</t>
  </si>
  <si>
    <t>Капранчикова Ю.</t>
  </si>
  <si>
    <t>Клец Ольга</t>
  </si>
  <si>
    <t>Клец О.</t>
  </si>
  <si>
    <t>Наличные</t>
  </si>
  <si>
    <t>X937XY750</t>
  </si>
  <si>
    <t>126FC188021</t>
  </si>
  <si>
    <t>Z94K241BBLR188021</t>
  </si>
  <si>
    <t>X918XY750</t>
  </si>
  <si>
    <t>126FC188022</t>
  </si>
  <si>
    <t>Z94K241BBLR188022</t>
  </si>
  <si>
    <t>B377HC777</t>
  </si>
  <si>
    <t>126FC000860</t>
  </si>
  <si>
    <t>Z6FDXXEECDFL00860</t>
  </si>
  <si>
    <t>X926XY750</t>
  </si>
  <si>
    <t>126FC192972</t>
  </si>
  <si>
    <t>Z94K341CBLR192972</t>
  </si>
  <si>
    <t>X867XY750</t>
  </si>
  <si>
    <t>126FC188635</t>
  </si>
  <si>
    <t>Z94K241BBLR188635</t>
  </si>
  <si>
    <t>P132TE777</t>
  </si>
  <si>
    <t>126FC013657</t>
  </si>
  <si>
    <t>Z6F5XXEEC5GA13657</t>
  </si>
  <si>
    <t>H587XH750</t>
  </si>
  <si>
    <t>126FC188437</t>
  </si>
  <si>
    <t>Z94K241BBLR188437</t>
  </si>
  <si>
    <t>Гревцева Ирина</t>
  </si>
  <si>
    <t>Гревцева И.</t>
  </si>
  <si>
    <t>X959XY750</t>
  </si>
  <si>
    <t>126FC191998</t>
  </si>
  <si>
    <t>Z94K341CBLR191998</t>
  </si>
  <si>
    <t>Y037MY197</t>
  </si>
  <si>
    <t>126FC085970</t>
  </si>
  <si>
    <t>Z6FKXXEEBKFC85970</t>
  </si>
  <si>
    <t>A273XY750</t>
  </si>
  <si>
    <t>126FC188434</t>
  </si>
  <si>
    <t>Z94K241BBLR188434</t>
  </si>
  <si>
    <t>A352XY750</t>
  </si>
  <si>
    <t>Z94K241BBLR174472</t>
  </si>
  <si>
    <t>A359XY750</t>
  </si>
  <si>
    <t>126FC188637</t>
  </si>
  <si>
    <t>Z94K241BBLR188637</t>
  </si>
  <si>
    <t>X896XY750</t>
  </si>
  <si>
    <t>126FC192776</t>
  </si>
  <si>
    <t>Z94K341CBLR192776</t>
  </si>
  <si>
    <t>B040AK797</t>
  </si>
  <si>
    <t>126FC192973</t>
  </si>
  <si>
    <t>Z94K341CBLR192973</t>
  </si>
  <si>
    <t>X913XY750</t>
  </si>
  <si>
    <t>126FC191874</t>
  </si>
  <si>
    <t>Z94K341CBLR191874</t>
  </si>
  <si>
    <t>C994PO777</t>
  </si>
  <si>
    <t>126FC006357</t>
  </si>
  <si>
    <t>Z6F5XXEEC5FJ06357</t>
  </si>
  <si>
    <t>H580XH750</t>
  </si>
  <si>
    <t>126FC192774</t>
  </si>
  <si>
    <t>Z94K341CBLR192774</t>
  </si>
  <si>
    <t>X829XY750</t>
  </si>
  <si>
    <t>126FC187263</t>
  </si>
  <si>
    <t>Z94K241BBLR187263</t>
  </si>
  <si>
    <t>X902XY750</t>
  </si>
  <si>
    <t>126FC187646</t>
  </si>
  <si>
    <t>Z94K241BBLR187646</t>
  </si>
  <si>
    <t>A375XY750</t>
  </si>
  <si>
    <t>126FC175243</t>
  </si>
  <si>
    <t>Z94K241BBLR175243</t>
  </si>
  <si>
    <t>H291XH750</t>
  </si>
  <si>
    <t>Z94K341CBLR191875</t>
  </si>
  <si>
    <t>Коньков Антон</t>
  </si>
  <si>
    <t>Коньков А.</t>
  </si>
  <si>
    <t>X911XY750</t>
  </si>
  <si>
    <t>126FC191739</t>
  </si>
  <si>
    <t>Z94K341CBLR191739</t>
  </si>
  <si>
    <t>A396XY750</t>
  </si>
  <si>
    <t>126FC187260</t>
  </si>
  <si>
    <t>Z94K241BBLR187260</t>
  </si>
  <si>
    <t>P266XO750</t>
  </si>
  <si>
    <t>126FC187057</t>
  </si>
  <si>
    <t>Z94K241BBLR187057</t>
  </si>
  <si>
    <t>A322XY750</t>
  </si>
  <si>
    <t>Z94K241BBLR188211</t>
  </si>
  <si>
    <t>A381XY750</t>
  </si>
  <si>
    <t>126FC188436</t>
  </si>
  <si>
    <t>Z94K241BBLR188436</t>
  </si>
  <si>
    <t>P257XO750</t>
  </si>
  <si>
    <t>126FC191742</t>
  </si>
  <si>
    <t>Z94K341CBLR191742</t>
  </si>
  <si>
    <t>X912XY750</t>
  </si>
  <si>
    <t>126FC192775</t>
  </si>
  <si>
    <t>Z94K341CBLR192775</t>
  </si>
  <si>
    <t>X946XY750</t>
  </si>
  <si>
    <t>126FC193386</t>
  </si>
  <si>
    <t>Z94K341CBLR193386</t>
  </si>
  <si>
    <t>A395XY750</t>
  </si>
  <si>
    <t>126FC188634</t>
  </si>
  <si>
    <t>Z94K241BBLR188634</t>
  </si>
  <si>
    <t>A308XY750</t>
  </si>
  <si>
    <t>126FC188024</t>
  </si>
  <si>
    <t>Z94K241BBLR188024</t>
  </si>
  <si>
    <t>B031AO797</t>
  </si>
  <si>
    <t>126FC187055</t>
  </si>
  <si>
    <t>Z94K241BBLR187055</t>
  </si>
  <si>
    <t>A310XY750</t>
  </si>
  <si>
    <t>126FC192623</t>
  </si>
  <si>
    <t>Z94K341CBLR192623</t>
  </si>
  <si>
    <t>X994XY750</t>
  </si>
  <si>
    <t>126FC193385</t>
  </si>
  <si>
    <t>Z94K341CBLR193385</t>
  </si>
  <si>
    <t>A398XY750</t>
  </si>
  <si>
    <t>126FC191740</t>
  </si>
  <si>
    <t>Z94K341CBLR191740</t>
  </si>
  <si>
    <t>H512XH750</t>
  </si>
  <si>
    <t>126FC193714</t>
  </si>
  <si>
    <t>Z94K341CBLR193714</t>
  </si>
  <si>
    <t>X938XY750</t>
  </si>
  <si>
    <t>126FC188023</t>
  </si>
  <si>
    <t>Z94K241BBLR188023</t>
  </si>
  <si>
    <t>X952XY750</t>
  </si>
  <si>
    <t>126FC188636</t>
  </si>
  <si>
    <t>Z94K241BBLR188636</t>
  </si>
  <si>
    <t>A351XY750</t>
  </si>
  <si>
    <t>126FC189945</t>
  </si>
  <si>
    <t>Z94K241BBLR189945</t>
  </si>
  <si>
    <t>A357XY750</t>
  </si>
  <si>
    <t>126FC178663</t>
  </si>
  <si>
    <t>Z94K241BBLR178663</t>
  </si>
  <si>
    <t>A397XY750</t>
  </si>
  <si>
    <t>126FC187261</t>
  </si>
  <si>
    <t>Z94K241BBLR187261</t>
  </si>
  <si>
    <t>P256XO750</t>
  </si>
  <si>
    <t>126FC191741</t>
  </si>
  <si>
    <t>Z94K341CBLR191741</t>
  </si>
  <si>
    <t>B044AH797</t>
  </si>
  <si>
    <t>126FC188210</t>
  </si>
  <si>
    <t>Z94K241BBLR188210</t>
  </si>
  <si>
    <t>X955XY750</t>
  </si>
  <si>
    <t>126FC187058</t>
  </si>
  <si>
    <t>Z94K241BBLR187058</t>
  </si>
  <si>
    <t>P273XO750</t>
  </si>
  <si>
    <t>126FC188212</t>
  </si>
  <si>
    <t>Z94K241BBLR188212</t>
  </si>
  <si>
    <t>KhromovaK</t>
  </si>
  <si>
    <t>A063CA750</t>
  </si>
  <si>
    <t>126FC065291</t>
  </si>
  <si>
    <t>Z94K241BBJR065291</t>
  </si>
  <si>
    <t>H420OE777</t>
  </si>
  <si>
    <t>126FC003477</t>
  </si>
  <si>
    <t>Z6FDXXEECDFT03477</t>
  </si>
  <si>
    <t>X848XY750</t>
  </si>
  <si>
    <t>126FC188213</t>
  </si>
  <si>
    <t>Z94K241BBLR188213</t>
  </si>
  <si>
    <t>A388XY750</t>
  </si>
  <si>
    <t>126FC193557</t>
  </si>
  <si>
    <t>Z94K341CBLR193557</t>
  </si>
  <si>
    <t>X881XY750</t>
  </si>
  <si>
    <t>126FC187647</t>
  </si>
  <si>
    <t>Z94K241BBLR187647</t>
  </si>
  <si>
    <t>H595XH750</t>
  </si>
  <si>
    <t>126FC187648</t>
  </si>
  <si>
    <t>Z94K241BBLR187648</t>
  </si>
  <si>
    <t>K475BX799</t>
  </si>
  <si>
    <t>126FC064916</t>
  </si>
  <si>
    <t>Z94K241BBJR064916</t>
  </si>
  <si>
    <t>126FC000060</t>
  </si>
  <si>
    <t>XWEL3416BL0000060</t>
  </si>
  <si>
    <t>GrevtzevaI</t>
  </si>
  <si>
    <t>T250AY797</t>
  </si>
  <si>
    <t>126FC187056</t>
  </si>
  <si>
    <t>Z94K241BBLR187056</t>
  </si>
  <si>
    <t>ZavyalovaE</t>
  </si>
  <si>
    <t>IzotovaE</t>
  </si>
  <si>
    <t>KletzO</t>
  </si>
  <si>
    <t>KonkovA</t>
  </si>
  <si>
    <t>B441AP797</t>
  </si>
  <si>
    <t>126FC000079</t>
  </si>
  <si>
    <t>XWEL3416BL0000079</t>
  </si>
  <si>
    <t>Марчукова Валерия</t>
  </si>
  <si>
    <t>Марчукова В.</t>
  </si>
  <si>
    <t>MarchukovaV</t>
  </si>
  <si>
    <t>B044AP797</t>
  </si>
  <si>
    <t>126FC188435</t>
  </si>
  <si>
    <t>Z94K241BBLR188435</t>
  </si>
  <si>
    <t>Y033TC777</t>
  </si>
  <si>
    <t>126FC021472</t>
  </si>
  <si>
    <t>Z6FDXXEECDGL21472</t>
  </si>
  <si>
    <t>TikhomirovI</t>
  </si>
  <si>
    <t>Тулакин Антон</t>
  </si>
  <si>
    <t>Тулакин А.</t>
  </si>
  <si>
    <t>C931YH750</t>
  </si>
  <si>
    <t>126FC160558</t>
  </si>
  <si>
    <t>Z94K241BBLR160558</t>
  </si>
  <si>
    <t>YakimenkoE</t>
  </si>
  <si>
    <t>T256AY797</t>
  </si>
  <si>
    <t>126FC191743</t>
  </si>
  <si>
    <t>Z94K341CBLR191743</t>
  </si>
  <si>
    <t>K665BX799</t>
  </si>
  <si>
    <t>126FC065888</t>
  </si>
  <si>
    <t>Z94K341CBJR065888</t>
  </si>
  <si>
    <t>A345XY750</t>
  </si>
  <si>
    <t>126FC174471</t>
  </si>
  <si>
    <t>Z94K241BBLR174471</t>
  </si>
  <si>
    <t>Белодворцев Роман</t>
  </si>
  <si>
    <t>Белодворцев Р,</t>
  </si>
  <si>
    <t>Территориальный представитель по продажам/Казань</t>
  </si>
  <si>
    <t>Ковальчук Александр</t>
  </si>
  <si>
    <t>Ковальчук А.</t>
  </si>
  <si>
    <t>T664KC177</t>
  </si>
  <si>
    <t>126FC086068</t>
  </si>
  <si>
    <t>Z6FKXXEEBKFC86068</t>
  </si>
  <si>
    <t>H588XH750</t>
  </si>
  <si>
    <t>126FC192773</t>
  </si>
  <si>
    <t>Z94K341CBLR192773</t>
  </si>
  <si>
    <t>Кухта Марчин</t>
  </si>
  <si>
    <t>Кухта М.</t>
  </si>
  <si>
    <t>Генеральный директор</t>
  </si>
  <si>
    <t>Ламанова Ирина</t>
  </si>
  <si>
    <t>Ламанова И.</t>
  </si>
  <si>
    <t>Масина Елена</t>
  </si>
  <si>
    <t>Масина Е.</t>
  </si>
  <si>
    <t>Назарова-Острожинская Анастасия</t>
  </si>
  <si>
    <t>Назарова-Острожинская А.</t>
  </si>
  <si>
    <t>Прокопов Роман</t>
  </si>
  <si>
    <t>Прокопов Р.</t>
  </si>
  <si>
    <t>Стажер</t>
  </si>
  <si>
    <t>Сайковская Наталья</t>
  </si>
  <si>
    <t>Сайковская Н.</t>
  </si>
  <si>
    <t>Шкварина Ольга</t>
  </si>
  <si>
    <t>Шкварина О.</t>
  </si>
  <si>
    <t>Авдеева Галина</t>
  </si>
  <si>
    <t>Авдеева Г.</t>
  </si>
  <si>
    <t>1005611153 \ 1005977678</t>
  </si>
  <si>
    <t>O231CY777</t>
  </si>
  <si>
    <t>126FC021673</t>
  </si>
  <si>
    <t>Z6F5XXEEC5GL21673</t>
  </si>
  <si>
    <t>1005977716</t>
  </si>
  <si>
    <t>T435OK777</t>
  </si>
  <si>
    <t>126FC089087</t>
  </si>
  <si>
    <t>Z6FKXXEEBKFD89087</t>
  </si>
  <si>
    <t>1005977743</t>
  </si>
  <si>
    <t>Власова Ирина</t>
  </si>
  <si>
    <t>Власова И.</t>
  </si>
  <si>
    <t>Территориальный представитель по продажам\ г. Челябинск</t>
  </si>
  <si>
    <t>O022PM777</t>
  </si>
  <si>
    <t>126FC004167</t>
  </si>
  <si>
    <t>Z6F5XXEEC5FT04167</t>
  </si>
  <si>
    <t>Ворожцов Кирилл</t>
  </si>
  <si>
    <t>Ворожцов К.</t>
  </si>
  <si>
    <t>Ворошилов Иван</t>
  </si>
  <si>
    <t>Ворошилов И.</t>
  </si>
  <si>
    <t>Гладышев Дмитрий</t>
  </si>
  <si>
    <t>Гладышев Д.</t>
  </si>
  <si>
    <t>B918AC797</t>
  </si>
  <si>
    <t>Территориальный представитель по продажам г. Сургут</t>
  </si>
  <si>
    <t>1005977744</t>
  </si>
  <si>
    <t>Килькинов Юрий</t>
  </si>
  <si>
    <t>Килькинов Ю.</t>
  </si>
  <si>
    <t>Территориальный представитель по продажам/ г. Уфа</t>
  </si>
  <si>
    <t>Старший специалист технической поддержки</t>
  </si>
  <si>
    <t>K017KK777</t>
  </si>
  <si>
    <t>126FC025951</t>
  </si>
  <si>
    <t>Z6F4XXEEC4GS25951</t>
  </si>
  <si>
    <t>1005977722</t>
  </si>
  <si>
    <t>1005977747</t>
  </si>
  <si>
    <t>1005977738</t>
  </si>
  <si>
    <t>A330XY750</t>
  </si>
  <si>
    <t>126FC173329</t>
  </si>
  <si>
    <t>Z94K241BBLR173329</t>
  </si>
  <si>
    <t>1005977725</t>
  </si>
  <si>
    <t>1005977748</t>
  </si>
  <si>
    <t>1005977720</t>
  </si>
  <si>
    <t>O866CY777</t>
  </si>
  <si>
    <t>126FC021663</t>
  </si>
  <si>
    <t>Z6F5XXEEC5GL21663</t>
  </si>
  <si>
    <t>Селина Анастасия</t>
  </si>
  <si>
    <t>Селина А.</t>
  </si>
  <si>
    <t>1005977723</t>
  </si>
  <si>
    <t>Христя Кристина</t>
  </si>
  <si>
    <t>Христя 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</si>
</sst>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-* #,##0.00_₴_-;\-* #,##0.00_₴_-;_-* &quot;-&quot;??_₴_-;_-@_-"/>
    <numFmt numFmtId="165" formatCode="#,##0.00;\(#,##0.00\);\-"/>
    <numFmt numFmtId="166" formatCode="#,##0.0000"/>
    <numFmt numFmtId="167" formatCode="_-* #,##0.00\ _€_-;\-* #,##0.00\ _€_-;_-* &quot;-&quot;??\ _€_-;_-@_-"/>
    <numFmt numFmtId="168" formatCode="[$AED]\ #,##0.00_);[Red]\([$AED]\ #,##0.00\)"/>
    <numFmt numFmtId="169" formatCode="[$-409]d\-mmm\-yy;@"/>
    <numFmt numFmtId="170" formatCode="0000"/>
    <numFmt numFmtId="171" formatCode="0.0%"/>
    <numFmt numFmtId="172" formatCode="0;0;"/>
    <numFmt numFmtId="173" formatCode=";;;"/>
  </numFmts>
  <fonts count="60" x14ac:knownFonts="1">
    <font>
      <sz val="10"/>
      <name val="Arial Cyr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8"/>
      <name val="Arial Cyr"/>
      <charset val="204"/>
    </font>
    <font>
      <sz val="10"/>
      <name val="Arial Cyr"/>
      <charset val="204"/>
    </font>
    <font>
      <sz val="9"/>
      <name val="Arial"/>
      <family val="2"/>
      <charset val="204"/>
    </font>
    <font>
      <b/>
      <sz val="10"/>
      <name val="Arial Cyr"/>
      <charset val="204"/>
    </font>
    <font>
      <sz val="10"/>
      <color rgb="FFFF0000"/>
      <name val="Arial Cyr"/>
      <charset val="204"/>
    </font>
    <font>
      <sz val="8"/>
      <name val="Arial"/>
      <family val="2"/>
      <charset val="204"/>
    </font>
    <font>
      <b/>
      <sz val="11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10"/>
      <name val="Arial"/>
      <family val="2"/>
      <charset val="204"/>
    </font>
    <font>
      <b/>
      <sz val="12"/>
      <name val="Arial"/>
      <family val="2"/>
      <charset val="204"/>
    </font>
    <font>
      <b/>
      <sz val="10"/>
      <color rgb="FFFF0000"/>
      <name val="Times New Roman"/>
      <family val="1"/>
      <charset val="204"/>
    </font>
    <font>
      <sz val="11"/>
      <color theme="1"/>
      <name val="Calibri"/>
      <family val="2"/>
      <scheme val="minor"/>
    </font>
    <font>
      <b/>
      <sz val="10"/>
      <color rgb="FFFF0000"/>
      <name val="Arial Cyr"/>
      <charset val="204"/>
    </font>
    <font>
      <b/>
      <sz val="12"/>
      <color rgb="FF000000"/>
      <name val="Arial Cyr"/>
    </font>
    <font>
      <u/>
      <sz val="10"/>
      <color theme="4" tint="-0.249977111117893"/>
      <name val="Arial Cyr"/>
      <charset val="204"/>
    </font>
    <font>
      <b/>
      <sz val="12"/>
      <name val="Cambria"/>
      <family val="1"/>
      <charset val="204"/>
      <scheme val="major"/>
    </font>
    <font>
      <b/>
      <sz val="12"/>
      <name val="Calibri"/>
      <family val="2"/>
      <charset val="238"/>
      <scheme val="minor"/>
    </font>
    <font>
      <sz val="10"/>
      <color rgb="FFFF0000"/>
      <name val="Arial"/>
      <family val="2"/>
      <charset val="204"/>
    </font>
    <font>
      <b/>
      <sz val="9"/>
      <name val="Arial"/>
      <family val="2"/>
      <charset val="204"/>
    </font>
    <font>
      <b/>
      <u/>
      <sz val="10"/>
      <color rgb="FFFF0000"/>
      <name val="Arial Cyr"/>
      <charset val="204"/>
    </font>
    <font>
      <sz val="11"/>
      <name val="Cambria"/>
      <family val="2"/>
      <charset val="204"/>
      <scheme val="major"/>
    </font>
    <font>
      <sz val="11"/>
      <color theme="1"/>
      <name val="Cambria"/>
      <family val="2"/>
      <charset val="204"/>
      <scheme val="major"/>
    </font>
    <font>
      <sz val="9"/>
      <color theme="1"/>
      <name val="Cambria"/>
      <family val="2"/>
      <charset val="204"/>
      <scheme val="major"/>
    </font>
    <font>
      <sz val="10"/>
      <color theme="0"/>
      <name val="Times New Roman"/>
      <family val="1"/>
      <charset val="204"/>
    </font>
    <font>
      <sz val="14"/>
      <color rgb="FFFF0000"/>
      <name val="Arial Cyr"/>
      <charset val="204"/>
    </font>
    <font>
      <b/>
      <u/>
      <sz val="12"/>
      <color rgb="FFFF0000"/>
      <name val="Arial Cyr"/>
      <charset val="204"/>
    </font>
    <font>
      <sz val="11"/>
      <color theme="1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b/>
      <u/>
      <sz val="11"/>
      <name val="Arial"/>
      <family val="2"/>
    </font>
    <font>
      <sz val="12"/>
      <name val="Calibri"/>
      <family val="2"/>
      <scheme val="minor"/>
    </font>
    <font>
      <b/>
      <sz val="12"/>
      <color indexed="8"/>
      <name val="Arial"/>
      <family val="2"/>
    </font>
    <font>
      <sz val="12"/>
      <color theme="1"/>
      <name val="Arial"/>
      <family val="2"/>
    </font>
    <font>
      <b/>
      <sz val="10"/>
      <color rgb="FF00000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sz val="10"/>
      <color theme="1"/>
      <name val="Arial Cyr"/>
      <charset val="204"/>
    </font>
    <font>
      <i/>
      <sz val="8"/>
      <name val="Arial Cyr"/>
      <charset val="204"/>
    </font>
    <font>
      <b/>
      <sz val="20"/>
      <color rgb="FF000000"/>
      <name val="Arial Cyr"/>
    </font>
    <font>
      <sz val="10"/>
      <color rgb="FFFF0000"/>
      <name val="Times New Roman"/>
      <family val="1"/>
      <charset val="204"/>
    </font>
    <font>
      <sz val="11"/>
      <color theme="1"/>
      <name val="Calibri"/>
      <family val="2"/>
      <charset val="204"/>
    </font>
    <font>
      <sz val="12"/>
      <color indexed="8"/>
      <name val="Arial"/>
      <family val="2"/>
      <charset val="204"/>
    </font>
  </fonts>
  <fills count="2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164" fontId="9" fillId="0" borderId="0" applyFont="0" applyFill="0" applyBorder="0" applyAlignment="0" applyProtection="0"/>
    <xf numFmtId="0" fontId="20" fillId="0" borderId="0"/>
    <xf numFmtId="0" fontId="5" fillId="0" borderId="0"/>
    <xf numFmtId="0" fontId="35" fillId="0" borderId="0"/>
    <xf numFmtId="167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4" fillId="0" borderId="0"/>
    <xf numFmtId="0" fontId="4" fillId="0" borderId="0"/>
    <xf numFmtId="0" fontId="3" fillId="0" borderId="0"/>
    <xf numFmtId="0" fontId="3" fillId="0" borderId="0"/>
    <xf numFmtId="0" fontId="17" fillId="0" borderId="0"/>
    <xf numFmtId="0" fontId="2" fillId="0" borderId="0"/>
    <xf numFmtId="0" fontId="2" fillId="0" borderId="0"/>
    <xf numFmtId="0" fontId="35" fillId="0" borderId="0"/>
    <xf numFmtId="167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1" fillId="0" borderId="0"/>
    <xf numFmtId="0" fontId="1" fillId="0" borderId="0"/>
  </cellStyleXfs>
  <cellXfs count="484">
    <xf numFmtId="0" fontId="0" fillId="0" borderId="0" xfId="0"/>
    <xf numFmtId="0" fontId="0" fillId="11" borderId="0" xfId="0" applyFill="1"/>
    <xf numFmtId="0" fontId="11" fillId="7" borderId="10" xfId="0" applyFont="1" applyFill="1" applyBorder="1"/>
    <xf numFmtId="0" fontId="11" fillId="7" borderId="11" xfId="0" applyFont="1" applyFill="1" applyBorder="1"/>
    <xf numFmtId="0" fontId="0" fillId="4" borderId="8" xfId="0" applyFill="1" applyBorder="1"/>
    <xf numFmtId="0" fontId="0" fillId="0" borderId="0" xfId="0" applyAlignment="1">
      <alignment vertical="top"/>
    </xf>
    <xf numFmtId="0" fontId="11" fillId="0" borderId="0" xfId="0" applyFont="1" applyAlignment="1">
      <alignment vertical="top"/>
    </xf>
    <xf numFmtId="165" fontId="7" fillId="6" borderId="6" xfId="0" applyNumberFormat="1" applyFont="1" applyFill="1" applyBorder="1" applyAlignment="1">
      <alignment horizontal="right"/>
    </xf>
    <xf numFmtId="0" fontId="0" fillId="12" borderId="0" xfId="0" applyFill="1"/>
    <xf numFmtId="0" fontId="6" fillId="4" borderId="0" xfId="0" applyNumberFormat="1" applyFont="1" applyFill="1" applyAlignment="1">
      <alignment horizontal="center" vertical="center" wrapText="1"/>
    </xf>
    <xf numFmtId="0" fontId="13" fillId="2" borderId="0" xfId="0" applyFont="1" applyFill="1" applyBorder="1"/>
    <xf numFmtId="0" fontId="13" fillId="2" borderId="0" xfId="0" applyFont="1" applyFill="1" applyAlignment="1">
      <alignment horizontal="center"/>
    </xf>
    <xf numFmtId="0" fontId="15" fillId="2" borderId="0" xfId="0" applyFont="1" applyFill="1"/>
    <xf numFmtId="0" fontId="13" fillId="2" borderId="0" xfId="0" applyFont="1" applyFill="1"/>
    <xf numFmtId="0" fontId="16" fillId="2" borderId="3" xfId="0" applyFont="1" applyFill="1" applyBorder="1"/>
    <xf numFmtId="0" fontId="13" fillId="2" borderId="3" xfId="0" applyFont="1" applyFill="1" applyBorder="1"/>
    <xf numFmtId="0" fontId="13" fillId="2" borderId="6" xfId="0" applyFont="1" applyFill="1" applyBorder="1"/>
    <xf numFmtId="0" fontId="13" fillId="2" borderId="0" xfId="0" applyFont="1" applyFill="1" applyAlignment="1">
      <alignment horizontal="right"/>
    </xf>
    <xf numFmtId="0" fontId="16" fillId="2" borderId="0" xfId="0" applyFont="1" applyFill="1"/>
    <xf numFmtId="0" fontId="16" fillId="2" borderId="0" xfId="0" applyFont="1" applyFill="1" applyBorder="1"/>
    <xf numFmtId="0" fontId="13" fillId="2" borderId="1" xfId="0" applyFont="1" applyFill="1" applyBorder="1" applyAlignment="1">
      <alignment horizontal="center"/>
    </xf>
    <xf numFmtId="0" fontId="18" fillId="2" borderId="0" xfId="0" applyFont="1" applyFill="1"/>
    <xf numFmtId="0" fontId="13" fillId="2" borderId="7" xfId="0" applyFont="1" applyFill="1" applyBorder="1"/>
    <xf numFmtId="0" fontId="13" fillId="2" borderId="5" xfId="0" applyFont="1" applyFill="1" applyBorder="1" applyAlignment="1">
      <alignment horizontal="right"/>
    </xf>
    <xf numFmtId="0" fontId="13" fillId="2" borderId="1" xfId="0" applyFont="1" applyFill="1" applyBorder="1"/>
    <xf numFmtId="0" fontId="13" fillId="2" borderId="0" xfId="0" quotePrefix="1" applyFont="1" applyFill="1"/>
    <xf numFmtId="0" fontId="13" fillId="5" borderId="0" xfId="0" applyFont="1" applyFill="1"/>
    <xf numFmtId="2" fontId="13" fillId="5" borderId="3" xfId="0" applyNumberFormat="1" applyFont="1" applyFill="1" applyBorder="1"/>
    <xf numFmtId="0" fontId="0" fillId="3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16" fillId="5" borderId="3" xfId="0" applyFont="1" applyFill="1" applyBorder="1"/>
    <xf numFmtId="0" fontId="17" fillId="0" borderId="0" xfId="0" applyFont="1"/>
    <xf numFmtId="1" fontId="0" fillId="5" borderId="0" xfId="0" applyNumberFormat="1" applyFill="1"/>
    <xf numFmtId="0" fontId="0" fillId="5" borderId="0" xfId="0" applyFill="1"/>
    <xf numFmtId="2" fontId="0" fillId="5" borderId="0" xfId="0" applyNumberFormat="1" applyFill="1"/>
    <xf numFmtId="0" fontId="0" fillId="0" borderId="0" xfId="0" applyAlignment="1">
      <alignment horizontal="center" vertical="center" wrapText="1"/>
    </xf>
    <xf numFmtId="0" fontId="6" fillId="4" borderId="1" xfId="0" applyNumberFormat="1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0" fillId="0" borderId="0" xfId="0" applyAlignment="1"/>
    <xf numFmtId="0" fontId="0" fillId="4" borderId="8" xfId="0" applyFill="1" applyBorder="1" applyAlignment="1"/>
    <xf numFmtId="0" fontId="0" fillId="8" borderId="7" xfId="0" applyFill="1" applyBorder="1" applyAlignment="1"/>
    <xf numFmtId="0" fontId="11" fillId="4" borderId="1" xfId="0" applyFont="1" applyFill="1" applyBorder="1" applyAlignment="1">
      <alignment vertical="center"/>
    </xf>
    <xf numFmtId="0" fontId="6" fillId="4" borderId="1" xfId="0" applyNumberFormat="1" applyFont="1" applyFill="1" applyBorder="1" applyAlignment="1">
      <alignment vertical="center"/>
    </xf>
    <xf numFmtId="0" fontId="0" fillId="0" borderId="0" xfId="0" applyFill="1" applyBorder="1" applyAlignment="1"/>
    <xf numFmtId="0" fontId="7" fillId="0" borderId="0" xfId="0" applyNumberFormat="1" applyFont="1" applyFill="1" applyBorder="1" applyAlignment="1" applyProtection="1"/>
    <xf numFmtId="49" fontId="7" fillId="0" borderId="0" xfId="0" applyNumberFormat="1" applyFont="1" applyFill="1" applyBorder="1" applyAlignment="1" applyProtection="1"/>
    <xf numFmtId="165" fontId="7" fillId="0" borderId="0" xfId="0" applyNumberFormat="1" applyFont="1" applyFill="1" applyBorder="1" applyAlignment="1" applyProtection="1"/>
    <xf numFmtId="165" fontId="7" fillId="0" borderId="0" xfId="0" applyNumberFormat="1" applyFont="1" applyFill="1" applyBorder="1" applyAlignment="1"/>
    <xf numFmtId="0" fontId="0" fillId="0" borderId="0" xfId="0" applyFill="1" applyAlignment="1"/>
    <xf numFmtId="14" fontId="10" fillId="5" borderId="1" xfId="0" applyNumberFormat="1" applyFont="1" applyFill="1" applyBorder="1" applyAlignment="1">
      <alignment horizontal="center" wrapText="1"/>
    </xf>
    <xf numFmtId="0" fontId="10" fillId="5" borderId="1" xfId="0" applyFont="1" applyFill="1" applyBorder="1" applyAlignment="1">
      <alignment horizontal="left" wrapText="1"/>
    </xf>
    <xf numFmtId="0" fontId="0" fillId="0" borderId="0" xfId="0" applyAlignment="1" applyProtection="1">
      <alignment vertical="top"/>
    </xf>
    <xf numFmtId="0" fontId="6" fillId="4" borderId="0" xfId="0" applyNumberFormat="1" applyFont="1" applyFill="1" applyAlignment="1" applyProtection="1">
      <alignment horizontal="center" vertical="center" wrapText="1"/>
    </xf>
    <xf numFmtId="0" fontId="11" fillId="0" borderId="0" xfId="0" applyFont="1" applyAlignment="1" applyProtection="1">
      <alignment vertical="top"/>
    </xf>
    <xf numFmtId="0" fontId="11" fillId="4" borderId="1" xfId="0" applyFont="1" applyFill="1" applyBorder="1" applyAlignment="1" applyProtection="1">
      <alignment horizontal="center" vertical="center" wrapText="1"/>
    </xf>
    <xf numFmtId="0" fontId="6" fillId="4" borderId="1" xfId="0" applyNumberFormat="1" applyFont="1" applyFill="1" applyBorder="1" applyAlignment="1" applyProtection="1">
      <alignment horizontal="center" vertical="center" wrapText="1"/>
    </xf>
    <xf numFmtId="0" fontId="0" fillId="4" borderId="8" xfId="0" applyFill="1" applyBorder="1" applyProtection="1"/>
    <xf numFmtId="165" fontId="7" fillId="6" borderId="6" xfId="0" applyNumberFormat="1" applyFont="1" applyFill="1" applyBorder="1" applyAlignment="1" applyProtection="1"/>
    <xf numFmtId="0" fontId="0" fillId="8" borderId="7" xfId="0" applyFill="1" applyBorder="1" applyAlignment="1" applyProtection="1"/>
    <xf numFmtId="49" fontId="7" fillId="10" borderId="1" xfId="0" applyNumberFormat="1" applyFont="1" applyFill="1" applyBorder="1" applyAlignment="1" applyProtection="1">
      <alignment horizontal="center" vertical="center"/>
      <protection locked="0"/>
    </xf>
    <xf numFmtId="14" fontId="7" fillId="10" borderId="1" xfId="0" applyNumberFormat="1" applyFont="1" applyFill="1" applyBorder="1" applyAlignment="1" applyProtection="1">
      <alignment horizontal="left" vertical="center" wrapText="1"/>
      <protection locked="0"/>
    </xf>
    <xf numFmtId="0" fontId="7" fillId="10" borderId="1" xfId="0" applyNumberFormat="1" applyFont="1" applyFill="1" applyBorder="1" applyAlignment="1" applyProtection="1">
      <alignment horizontal="left" vertical="center"/>
      <protection locked="0"/>
    </xf>
    <xf numFmtId="0" fontId="7" fillId="10" borderId="1" xfId="0" applyNumberFormat="1" applyFont="1" applyFill="1" applyBorder="1" applyAlignment="1" applyProtection="1">
      <protection locked="0"/>
    </xf>
    <xf numFmtId="0" fontId="7" fillId="10" borderId="5" xfId="0" applyNumberFormat="1" applyFont="1" applyFill="1" applyBorder="1" applyProtection="1">
      <protection locked="0"/>
    </xf>
    <xf numFmtId="4" fontId="7" fillId="10" borderId="1" xfId="0" applyNumberFormat="1" applyFont="1" applyFill="1" applyBorder="1" applyAlignment="1" applyProtection="1">
      <alignment horizontal="right" vertical="center"/>
      <protection locked="0"/>
    </xf>
    <xf numFmtId="0" fontId="7" fillId="10" borderId="1" xfId="0" applyNumberFormat="1" applyFont="1" applyFill="1" applyBorder="1" applyAlignment="1" applyProtection="1">
      <alignment horizontal="right" vertical="center"/>
      <protection locked="0"/>
    </xf>
    <xf numFmtId="165" fontId="7" fillId="10" borderId="6" xfId="0" applyNumberFormat="1" applyFont="1" applyFill="1" applyBorder="1" applyAlignment="1" applyProtection="1">
      <protection locked="0"/>
    </xf>
    <xf numFmtId="14" fontId="7" fillId="10" borderId="6" xfId="0" applyNumberFormat="1" applyFont="1" applyFill="1" applyBorder="1" applyAlignment="1" applyProtection="1">
      <alignment horizontal="center" wrapText="1"/>
      <protection locked="0"/>
    </xf>
    <xf numFmtId="49" fontId="7" fillId="10" borderId="6" xfId="0" applyNumberFormat="1" applyFont="1" applyFill="1" applyBorder="1" applyAlignment="1" applyProtection="1">
      <alignment horizontal="center"/>
      <protection locked="0"/>
    </xf>
    <xf numFmtId="49" fontId="7" fillId="10" borderId="6" xfId="0" applyNumberFormat="1" applyFont="1" applyFill="1" applyBorder="1" applyAlignment="1" applyProtection="1">
      <protection locked="0"/>
    </xf>
    <xf numFmtId="0" fontId="7" fillId="10" borderId="6" xfId="0" applyNumberFormat="1" applyFont="1" applyFill="1" applyBorder="1" applyAlignment="1" applyProtection="1">
      <protection locked="0"/>
    </xf>
    <xf numFmtId="0" fontId="7" fillId="10" borderId="6" xfId="0" applyNumberFormat="1" applyFont="1" applyFill="1" applyBorder="1" applyProtection="1">
      <protection locked="0"/>
    </xf>
    <xf numFmtId="165" fontId="7" fillId="10" borderId="6" xfId="0" applyNumberFormat="1" applyFont="1" applyFill="1" applyBorder="1" applyAlignment="1" applyProtection="1">
      <alignment horizontal="right"/>
      <protection locked="0"/>
    </xf>
    <xf numFmtId="0" fontId="17" fillId="0" borderId="0" xfId="0" applyNumberFormat="1" applyFont="1"/>
    <xf numFmtId="0" fontId="17" fillId="2" borderId="0" xfId="0" applyFont="1" applyFill="1"/>
    <xf numFmtId="0" fontId="17" fillId="2" borderId="0" xfId="0" applyFont="1" applyFill="1" applyBorder="1"/>
    <xf numFmtId="0" fontId="17" fillId="2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right"/>
    </xf>
    <xf numFmtId="0" fontId="26" fillId="3" borderId="0" xfId="0" applyNumberFormat="1" applyFont="1" applyFill="1" applyProtection="1"/>
    <xf numFmtId="0" fontId="17" fillId="3" borderId="0" xfId="0" applyNumberFormat="1" applyFont="1" applyFill="1"/>
    <xf numFmtId="0" fontId="17" fillId="0" borderId="0" xfId="0" applyNumberFormat="1" applyFont="1" applyAlignment="1">
      <alignment wrapText="1"/>
    </xf>
    <xf numFmtId="0" fontId="10" fillId="2" borderId="0" xfId="0" applyFont="1" applyFill="1"/>
    <xf numFmtId="0" fontId="10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wrapText="1"/>
    </xf>
    <xf numFmtId="165" fontId="10" fillId="0" borderId="1" xfId="1" applyNumberFormat="1" applyFont="1" applyFill="1" applyBorder="1" applyAlignment="1">
      <alignment horizontal="right" wrapText="1"/>
    </xf>
    <xf numFmtId="0" fontId="10" fillId="2" borderId="1" xfId="0" applyFont="1" applyFill="1" applyBorder="1"/>
    <xf numFmtId="0" fontId="27" fillId="2" borderId="1" xfId="0" applyFont="1" applyFill="1" applyBorder="1"/>
    <xf numFmtId="2" fontId="10" fillId="2" borderId="1" xfId="0" applyNumberFormat="1" applyFont="1" applyFill="1" applyBorder="1"/>
    <xf numFmtId="0" fontId="10" fillId="2" borderId="3" xfId="0" applyFont="1" applyFill="1" applyBorder="1"/>
    <xf numFmtId="0" fontId="13" fillId="0" borderId="5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0" fillId="2" borderId="3" xfId="0" applyFont="1" applyFill="1" applyBorder="1" applyAlignment="1">
      <alignment horizontal="right"/>
    </xf>
    <xf numFmtId="0" fontId="10" fillId="5" borderId="0" xfId="0" applyFont="1" applyFill="1"/>
    <xf numFmtId="0" fontId="10" fillId="5" borderId="6" xfId="0" applyFont="1" applyFill="1" applyBorder="1" applyAlignment="1">
      <alignment horizontal="center"/>
    </xf>
    <xf numFmtId="0" fontId="10" fillId="2" borderId="12" xfId="0" applyFont="1" applyFill="1" applyBorder="1"/>
    <xf numFmtId="0" fontId="10" fillId="2" borderId="9" xfId="0" applyFont="1" applyFill="1" applyBorder="1"/>
    <xf numFmtId="0" fontId="10" fillId="2" borderId="4" xfId="0" applyFont="1" applyFill="1" applyBorder="1" applyAlignment="1">
      <alignment horizontal="right"/>
    </xf>
    <xf numFmtId="165" fontId="10" fillId="5" borderId="1" xfId="1" applyNumberFormat="1" applyFont="1" applyFill="1" applyBorder="1" applyAlignment="1">
      <alignment horizontal="right"/>
    </xf>
    <xf numFmtId="0" fontId="10" fillId="2" borderId="13" xfId="0" applyFont="1" applyFill="1" applyBorder="1"/>
    <xf numFmtId="0" fontId="10" fillId="2" borderId="8" xfId="0" applyFont="1" applyFill="1" applyBorder="1" applyAlignment="1">
      <alignment horizontal="right"/>
    </xf>
    <xf numFmtId="0" fontId="10" fillId="2" borderId="5" xfId="0" applyFont="1" applyFill="1" applyBorder="1"/>
    <xf numFmtId="0" fontId="10" fillId="2" borderId="6" xfId="0" applyFont="1" applyFill="1" applyBorder="1"/>
    <xf numFmtId="0" fontId="10" fillId="2" borderId="7" xfId="0" applyFont="1" applyFill="1" applyBorder="1"/>
    <xf numFmtId="0" fontId="10" fillId="0" borderId="16" xfId="0" applyNumberFormat="1" applyFont="1" applyBorder="1"/>
    <xf numFmtId="0" fontId="10" fillId="0" borderId="0" xfId="0" applyNumberFormat="1" applyFont="1" applyBorder="1"/>
    <xf numFmtId="4" fontId="10" fillId="5" borderId="1" xfId="0" applyNumberFormat="1" applyFont="1" applyFill="1" applyBorder="1"/>
    <xf numFmtId="0" fontId="10" fillId="5" borderId="1" xfId="0" applyFont="1" applyFill="1" applyBorder="1"/>
    <xf numFmtId="0" fontId="10" fillId="5" borderId="1" xfId="0" applyFont="1" applyFill="1" applyBorder="1" applyAlignment="1">
      <alignment horizontal="right"/>
    </xf>
    <xf numFmtId="0" fontId="10" fillId="0" borderId="0" xfId="0" applyNumberFormat="1" applyFont="1"/>
    <xf numFmtId="0" fontId="10" fillId="2" borderId="0" xfId="0" applyFont="1" applyFill="1" applyBorder="1"/>
    <xf numFmtId="0" fontId="10" fillId="2" borderId="0" xfId="0" applyFont="1" applyFill="1" applyAlignment="1">
      <alignment horizontal="right"/>
    </xf>
    <xf numFmtId="0" fontId="10" fillId="5" borderId="1" xfId="0" applyFont="1" applyFill="1" applyBorder="1" applyAlignment="1">
      <alignment horizontal="center"/>
    </xf>
    <xf numFmtId="0" fontId="10" fillId="0" borderId="0" xfId="0" applyFont="1"/>
    <xf numFmtId="0" fontId="10" fillId="2" borderId="1" xfId="0" applyFont="1" applyFill="1" applyBorder="1" applyAlignment="1">
      <alignment horizontal="center" wrapText="1"/>
    </xf>
    <xf numFmtId="14" fontId="10" fillId="5" borderId="1" xfId="0" applyNumberFormat="1" applyFont="1" applyFill="1" applyBorder="1"/>
    <xf numFmtId="0" fontId="0" fillId="8" borderId="0" xfId="0" applyFill="1" applyAlignment="1" applyProtection="1">
      <protection locked="0"/>
    </xf>
    <xf numFmtId="0" fontId="7" fillId="10" borderId="5" xfId="0" applyNumberFormat="1" applyFont="1" applyFill="1" applyBorder="1" applyAlignment="1" applyProtection="1">
      <protection locked="0"/>
    </xf>
    <xf numFmtId="14" fontId="7" fillId="10" borderId="6" xfId="0" applyNumberFormat="1" applyFont="1" applyFill="1" applyBorder="1" applyAlignment="1" applyProtection="1">
      <alignment vertical="justify"/>
      <protection locked="0"/>
    </xf>
    <xf numFmtId="165" fontId="7" fillId="6" borderId="6" xfId="0" applyNumberFormat="1" applyFont="1" applyFill="1" applyBorder="1" applyAlignment="1" applyProtection="1">
      <protection locked="0"/>
    </xf>
    <xf numFmtId="0" fontId="0" fillId="8" borderId="7" xfId="0" applyFill="1" applyBorder="1" applyAlignment="1" applyProtection="1">
      <protection locked="0"/>
    </xf>
    <xf numFmtId="14" fontId="0" fillId="0" borderId="0" xfId="0" applyNumberFormat="1"/>
    <xf numFmtId="166" fontId="7" fillId="10" borderId="1" xfId="0" applyNumberFormat="1" applyFont="1" applyFill="1" applyBorder="1" applyAlignment="1" applyProtection="1">
      <alignment horizontal="right" vertical="center"/>
      <protection locked="0"/>
    </xf>
    <xf numFmtId="49" fontId="0" fillId="0" borderId="0" xfId="0" applyNumberFormat="1"/>
    <xf numFmtId="165" fontId="10" fillId="5" borderId="1" xfId="0" applyNumberFormat="1" applyFont="1" applyFill="1" applyBorder="1"/>
    <xf numFmtId="0" fontId="0" fillId="4" borderId="0" xfId="0" applyFill="1" applyAlignment="1" applyProtection="1">
      <alignment horizontal="left" vertical="top"/>
    </xf>
    <xf numFmtId="0" fontId="0" fillId="4" borderId="0" xfId="0" applyFill="1" applyAlignment="1" applyProtection="1">
      <alignment horizontal="left" vertical="top" wrapText="1"/>
    </xf>
    <xf numFmtId="0" fontId="11" fillId="4" borderId="0" xfId="0" applyFont="1" applyFill="1" applyAlignment="1" applyProtection="1">
      <alignment vertical="top"/>
    </xf>
    <xf numFmtId="0" fontId="0" fillId="4" borderId="0" xfId="0" applyFill="1" applyAlignment="1" applyProtection="1">
      <alignment horizontal="right" vertical="top"/>
    </xf>
    <xf numFmtId="0" fontId="28" fillId="4" borderId="0" xfId="0" applyFont="1" applyFill="1" applyAlignment="1" applyProtection="1">
      <alignment horizontal="right" vertical="top"/>
    </xf>
    <xf numFmtId="0" fontId="0" fillId="4" borderId="0" xfId="0" quotePrefix="1" applyFill="1" applyAlignment="1" applyProtection="1">
      <alignment horizontal="right" vertical="top" wrapText="1"/>
    </xf>
    <xf numFmtId="0" fontId="5" fillId="0" borderId="0" xfId="3"/>
    <xf numFmtId="0" fontId="5" fillId="0" borderId="0" xfId="3" applyAlignment="1">
      <alignment horizontal="center"/>
    </xf>
    <xf numFmtId="0" fontId="35" fillId="0" borderId="0" xfId="4" applyAlignment="1" applyProtection="1">
      <alignment vertical="top"/>
      <protection hidden="1"/>
    </xf>
    <xf numFmtId="0" fontId="38" fillId="0" borderId="18" xfId="4" applyFont="1" applyBorder="1" applyAlignment="1" applyProtection="1">
      <alignment horizontal="center" vertical="top"/>
      <protection hidden="1"/>
    </xf>
    <xf numFmtId="0" fontId="38" fillId="0" borderId="19" xfId="4" applyFont="1" applyBorder="1" applyAlignment="1" applyProtection="1">
      <alignment horizontal="center" vertical="top"/>
      <protection hidden="1"/>
    </xf>
    <xf numFmtId="0" fontId="38" fillId="0" borderId="19" xfId="4" applyFont="1" applyBorder="1" applyAlignment="1" applyProtection="1">
      <alignment horizontal="left" vertical="top"/>
      <protection hidden="1"/>
    </xf>
    <xf numFmtId="0" fontId="38" fillId="0" borderId="19" xfId="4" applyFont="1" applyBorder="1" applyAlignment="1" applyProtection="1">
      <alignment horizontal="right" vertical="top"/>
      <protection hidden="1"/>
    </xf>
    <xf numFmtId="0" fontId="39" fillId="0" borderId="19" xfId="4" applyFont="1" applyBorder="1" applyAlignment="1" applyProtection="1">
      <alignment vertical="top"/>
      <protection hidden="1"/>
    </xf>
    <xf numFmtId="0" fontId="39" fillId="0" borderId="20" xfId="4" applyFont="1" applyBorder="1" applyAlignment="1" applyProtection="1">
      <alignment vertical="top"/>
      <protection hidden="1"/>
    </xf>
    <xf numFmtId="0" fontId="39" fillId="0" borderId="0" xfId="4" applyFont="1" applyAlignment="1" applyProtection="1">
      <alignment vertical="top"/>
      <protection hidden="1"/>
    </xf>
    <xf numFmtId="0" fontId="39" fillId="0" borderId="21" xfId="4" applyFont="1" applyBorder="1" applyAlignment="1" applyProtection="1">
      <alignment vertical="top"/>
      <protection hidden="1"/>
    </xf>
    <xf numFmtId="0" fontId="39" fillId="0" borderId="0" xfId="4" applyFont="1" applyBorder="1" applyAlignment="1" applyProtection="1">
      <alignment vertical="top"/>
      <protection hidden="1"/>
    </xf>
    <xf numFmtId="0" fontId="39" fillId="0" borderId="0" xfId="4" applyFont="1" applyFill="1" applyBorder="1" applyAlignment="1" applyProtection="1">
      <alignment vertical="top"/>
      <protection hidden="1"/>
    </xf>
    <xf numFmtId="49" fontId="39" fillId="0" borderId="0" xfId="5" applyNumberFormat="1" applyFont="1" applyFill="1" applyBorder="1" applyAlignment="1" applyProtection="1">
      <alignment vertical="top"/>
      <protection hidden="1"/>
    </xf>
    <xf numFmtId="167" fontId="39" fillId="0" borderId="0" xfId="5" applyFont="1" applyFill="1" applyBorder="1" applyAlignment="1" applyProtection="1">
      <alignment horizontal="left" vertical="top"/>
      <protection hidden="1"/>
    </xf>
    <xf numFmtId="167" fontId="39" fillId="0" borderId="0" xfId="5" applyFont="1" applyFill="1" applyBorder="1" applyAlignment="1" applyProtection="1">
      <alignment horizontal="right" vertical="top"/>
      <protection hidden="1"/>
    </xf>
    <xf numFmtId="168" fontId="39" fillId="0" borderId="0" xfId="4" applyNumberFormat="1" applyFont="1" applyFill="1" applyBorder="1" applyAlignment="1" applyProtection="1">
      <alignment horizontal="right" vertical="top"/>
      <protection hidden="1"/>
    </xf>
    <xf numFmtId="0" fontId="39" fillId="0" borderId="22" xfId="4" applyFont="1" applyBorder="1" applyAlignment="1" applyProtection="1">
      <alignment vertical="top"/>
      <protection hidden="1"/>
    </xf>
    <xf numFmtId="40" fontId="40" fillId="0" borderId="21" xfId="4" applyNumberFormat="1" applyFont="1" applyBorder="1" applyAlignment="1" applyProtection="1">
      <alignment horizontal="left" vertical="top"/>
      <protection hidden="1"/>
    </xf>
    <xf numFmtId="0" fontId="42" fillId="0" borderId="22" xfId="4" applyFont="1" applyBorder="1" applyAlignment="1" applyProtection="1">
      <alignment vertical="top"/>
      <protection hidden="1"/>
    </xf>
    <xf numFmtId="0" fontId="42" fillId="0" borderId="0" xfId="4" applyFont="1" applyBorder="1" applyAlignment="1" applyProtection="1">
      <alignment vertical="top"/>
      <protection hidden="1"/>
    </xf>
    <xf numFmtId="0" fontId="43" fillId="0" borderId="0" xfId="4" applyFont="1" applyBorder="1" applyAlignment="1" applyProtection="1">
      <alignment horizontal="left" vertical="top"/>
      <protection hidden="1"/>
    </xf>
    <xf numFmtId="40" fontId="40" fillId="0" borderId="0" xfId="4" applyNumberFormat="1" applyFont="1" applyBorder="1" applyAlignment="1" applyProtection="1">
      <alignment horizontal="left" vertical="top"/>
      <protection hidden="1"/>
    </xf>
    <xf numFmtId="0" fontId="43" fillId="0" borderId="0" xfId="4" applyFont="1" applyBorder="1" applyAlignment="1" applyProtection="1">
      <alignment horizontal="center" vertical="top"/>
      <protection hidden="1"/>
    </xf>
    <xf numFmtId="14" fontId="40" fillId="0" borderId="0" xfId="4" applyNumberFormat="1" applyFont="1" applyBorder="1" applyAlignment="1" applyProtection="1">
      <alignment horizontal="left" vertical="top"/>
      <protection hidden="1"/>
    </xf>
    <xf numFmtId="49" fontId="40" fillId="0" borderId="0" xfId="4" applyNumberFormat="1" applyFont="1" applyBorder="1" applyAlignment="1" applyProtection="1">
      <alignment horizontal="center" vertical="top"/>
      <protection hidden="1"/>
    </xf>
    <xf numFmtId="169" fontId="40" fillId="0" borderId="0" xfId="4" applyNumberFormat="1" applyFont="1" applyBorder="1" applyAlignment="1" applyProtection="1">
      <alignment horizontal="left" vertical="top"/>
      <protection hidden="1"/>
    </xf>
    <xf numFmtId="169" fontId="40" fillId="0" borderId="0" xfId="4" applyNumberFormat="1" applyFont="1" applyBorder="1" applyAlignment="1" applyProtection="1">
      <alignment horizontal="right" vertical="top"/>
      <protection hidden="1"/>
    </xf>
    <xf numFmtId="0" fontId="43" fillId="0" borderId="0" xfId="4" applyFont="1" applyBorder="1" applyAlignment="1" applyProtection="1">
      <alignment vertical="top"/>
      <protection hidden="1"/>
    </xf>
    <xf numFmtId="0" fontId="40" fillId="0" borderId="27" xfId="4" applyFont="1" applyFill="1" applyBorder="1" applyAlignment="1" applyProtection="1">
      <alignment horizontal="center" vertical="top"/>
      <protection hidden="1"/>
    </xf>
    <xf numFmtId="0" fontId="40" fillId="0" borderId="28" xfId="4" applyFont="1" applyFill="1" applyBorder="1" applyAlignment="1" applyProtection="1">
      <alignment horizontal="left" vertical="top"/>
      <protection hidden="1"/>
    </xf>
    <xf numFmtId="0" fontId="40" fillId="21" borderId="28" xfId="4" applyFont="1" applyFill="1" applyBorder="1" applyAlignment="1" applyProtection="1">
      <alignment horizontal="left" vertical="top"/>
      <protection hidden="1"/>
    </xf>
    <xf numFmtId="0" fontId="40" fillId="22" borderId="28" xfId="4" applyFont="1" applyFill="1" applyBorder="1" applyAlignment="1" applyProtection="1">
      <alignment horizontal="left" vertical="top"/>
      <protection hidden="1"/>
    </xf>
    <xf numFmtId="49" fontId="40" fillId="0" borderId="28" xfId="4" applyNumberFormat="1" applyFont="1" applyFill="1" applyBorder="1" applyAlignment="1" applyProtection="1">
      <alignment horizontal="left" vertical="top"/>
      <protection hidden="1"/>
    </xf>
    <xf numFmtId="0" fontId="40" fillId="22" borderId="28" xfId="4" applyFont="1" applyFill="1" applyBorder="1" applyAlignment="1" applyProtection="1">
      <alignment horizontal="right" vertical="top"/>
      <protection hidden="1"/>
    </xf>
    <xf numFmtId="167" fontId="40" fillId="0" borderId="28" xfId="5" applyFont="1" applyFill="1" applyBorder="1" applyAlignment="1" applyProtection="1">
      <alignment horizontal="right" vertical="top"/>
      <protection hidden="1"/>
    </xf>
    <xf numFmtId="167" fontId="40" fillId="22" borderId="28" xfId="5" applyFont="1" applyFill="1" applyBorder="1" applyAlignment="1" applyProtection="1">
      <alignment horizontal="right" vertical="top"/>
      <protection hidden="1"/>
    </xf>
    <xf numFmtId="167" fontId="40" fillId="21" borderId="28" xfId="5" applyFont="1" applyFill="1" applyBorder="1" applyAlignment="1" applyProtection="1">
      <alignment horizontal="center" vertical="top"/>
      <protection hidden="1"/>
    </xf>
    <xf numFmtId="167" fontId="40" fillId="22" borderId="29" xfId="5" applyFont="1" applyFill="1" applyBorder="1" applyAlignment="1" applyProtection="1">
      <alignment horizontal="right" vertical="top"/>
      <protection hidden="1"/>
    </xf>
    <xf numFmtId="0" fontId="42" fillId="23" borderId="0" xfId="4" applyFont="1" applyFill="1" applyAlignment="1" applyProtection="1">
      <alignment horizontal="right" vertical="top"/>
      <protection hidden="1"/>
    </xf>
    <xf numFmtId="0" fontId="42" fillId="0" borderId="0" xfId="4" applyFont="1" applyAlignment="1" applyProtection="1">
      <alignment horizontal="right" vertical="top"/>
      <protection hidden="1"/>
    </xf>
    <xf numFmtId="0" fontId="43" fillId="0" borderId="30" xfId="4" applyFont="1" applyBorder="1" applyAlignment="1" applyProtection="1">
      <alignment horizontal="center" vertical="top"/>
      <protection hidden="1"/>
    </xf>
    <xf numFmtId="0" fontId="43" fillId="22" borderId="1" xfId="4" applyFont="1" applyFill="1" applyBorder="1" applyAlignment="1" applyProtection="1">
      <alignment horizontal="left" vertical="top"/>
      <protection hidden="1"/>
    </xf>
    <xf numFmtId="0" fontId="43" fillId="22" borderId="2" xfId="4" applyFont="1" applyFill="1" applyBorder="1" applyAlignment="1" applyProtection="1">
      <alignment horizontal="left" vertical="top"/>
      <protection hidden="1"/>
    </xf>
    <xf numFmtId="0" fontId="43" fillId="22" borderId="2" xfId="4" applyFont="1" applyFill="1" applyBorder="1" applyAlignment="1" applyProtection="1">
      <alignment horizontal="right" vertical="top"/>
      <protection hidden="1"/>
    </xf>
    <xf numFmtId="4" fontId="43" fillId="22" borderId="2" xfId="4" applyNumberFormat="1" applyFont="1" applyFill="1" applyBorder="1" applyAlignment="1" applyProtection="1">
      <alignment horizontal="right" vertical="top"/>
      <protection hidden="1"/>
    </xf>
    <xf numFmtId="4" fontId="43" fillId="22" borderId="2" xfId="4" applyNumberFormat="1" applyFont="1" applyFill="1" applyBorder="1" applyAlignment="1" applyProtection="1">
      <alignment vertical="top"/>
      <protection hidden="1"/>
    </xf>
    <xf numFmtId="4" fontId="43" fillId="22" borderId="31" xfId="4" applyNumberFormat="1" applyFont="1" applyFill="1" applyBorder="1" applyAlignment="1" applyProtection="1">
      <alignment vertical="top"/>
      <protection hidden="1"/>
    </xf>
    <xf numFmtId="0" fontId="44" fillId="0" borderId="18" xfId="4" applyFont="1" applyBorder="1" applyAlignment="1" applyProtection="1">
      <alignment vertical="top"/>
      <protection hidden="1"/>
    </xf>
    <xf numFmtId="0" fontId="44" fillId="0" borderId="19" xfId="4" applyFont="1" applyBorder="1" applyAlignment="1" applyProtection="1">
      <alignment vertical="top"/>
      <protection hidden="1"/>
    </xf>
    <xf numFmtId="1" fontId="45" fillId="0" borderId="19" xfId="4" applyNumberFormat="1" applyFont="1" applyFill="1" applyBorder="1" applyAlignment="1" applyProtection="1">
      <alignment horizontal="center" vertical="top"/>
      <protection hidden="1"/>
    </xf>
    <xf numFmtId="49" fontId="44" fillId="0" borderId="19" xfId="4" applyNumberFormat="1" applyFont="1" applyBorder="1" applyAlignment="1" applyProtection="1">
      <alignment vertical="top"/>
      <protection hidden="1"/>
    </xf>
    <xf numFmtId="0" fontId="43" fillId="0" borderId="19" xfId="4" applyFont="1" applyBorder="1" applyAlignment="1" applyProtection="1">
      <alignment horizontal="left" vertical="top"/>
      <protection hidden="1"/>
    </xf>
    <xf numFmtId="0" fontId="43" fillId="0" borderId="19" xfId="4" applyFont="1" applyBorder="1" applyAlignment="1" applyProtection="1">
      <alignment horizontal="right" vertical="top"/>
      <protection hidden="1"/>
    </xf>
    <xf numFmtId="4" fontId="43" fillId="0" borderId="19" xfId="4" applyNumberFormat="1" applyFont="1" applyBorder="1" applyAlignment="1" applyProtection="1">
      <alignment horizontal="right" vertical="top"/>
      <protection hidden="1"/>
    </xf>
    <xf numFmtId="4" fontId="43" fillId="0" borderId="19" xfId="4" applyNumberFormat="1" applyFont="1" applyBorder="1" applyAlignment="1" applyProtection="1">
      <alignment vertical="top"/>
      <protection hidden="1"/>
    </xf>
    <xf numFmtId="0" fontId="43" fillId="0" borderId="19" xfId="4" applyFont="1" applyBorder="1" applyAlignment="1" applyProtection="1">
      <alignment horizontal="center" vertical="top"/>
      <protection hidden="1"/>
    </xf>
    <xf numFmtId="0" fontId="42" fillId="0" borderId="20" xfId="4" applyFont="1" applyBorder="1" applyAlignment="1" applyProtection="1">
      <alignment vertical="top"/>
      <protection hidden="1"/>
    </xf>
    <xf numFmtId="0" fontId="44" fillId="0" borderId="32" xfId="4" applyFont="1" applyFill="1" applyBorder="1" applyAlignment="1" applyProtection="1">
      <alignment vertical="top"/>
      <protection hidden="1"/>
    </xf>
    <xf numFmtId="0" fontId="43" fillId="0" borderId="0" xfId="4" applyFont="1" applyFill="1" applyBorder="1" applyAlignment="1" applyProtection="1">
      <alignment vertical="top"/>
      <protection hidden="1"/>
    </xf>
    <xf numFmtId="0" fontId="44" fillId="0" borderId="0" xfId="4" applyFont="1" applyFill="1" applyBorder="1" applyAlignment="1" applyProtection="1">
      <alignment vertical="top"/>
      <protection hidden="1"/>
    </xf>
    <xf numFmtId="49" fontId="44" fillId="0" borderId="0" xfId="4" applyNumberFormat="1" applyFont="1" applyFill="1" applyBorder="1" applyAlignment="1" applyProtection="1">
      <alignment vertical="top"/>
      <protection hidden="1"/>
    </xf>
    <xf numFmtId="4" fontId="40" fillId="0" borderId="0" xfId="4" applyNumberFormat="1" applyFont="1" applyFill="1" applyBorder="1" applyAlignment="1" applyProtection="1">
      <alignment horizontal="right" vertical="top"/>
      <protection hidden="1"/>
    </xf>
    <xf numFmtId="0" fontId="43" fillId="0" borderId="0" xfId="4" applyFont="1" applyFill="1" applyBorder="1" applyAlignment="1" applyProtection="1">
      <alignment horizontal="right" vertical="top"/>
      <protection hidden="1"/>
    </xf>
    <xf numFmtId="4" fontId="43" fillId="0" borderId="0" xfId="4" applyNumberFormat="1" applyFont="1" applyFill="1" applyBorder="1" applyAlignment="1" applyProtection="1">
      <alignment horizontal="right" vertical="top"/>
      <protection hidden="1"/>
    </xf>
    <xf numFmtId="4" fontId="43" fillId="22" borderId="18" xfId="4" applyNumberFormat="1" applyFont="1" applyFill="1" applyBorder="1" applyAlignment="1" applyProtection="1">
      <alignment horizontal="right"/>
      <protection hidden="1"/>
    </xf>
    <xf numFmtId="4" fontId="43" fillId="22" borderId="19" xfId="4" applyNumberFormat="1" applyFont="1" applyFill="1" applyBorder="1" applyAlignment="1" applyProtection="1">
      <alignment horizontal="right"/>
      <protection hidden="1"/>
    </xf>
    <xf numFmtId="0" fontId="43" fillId="22" borderId="19" xfId="4" applyFont="1" applyFill="1" applyBorder="1" applyAlignment="1" applyProtection="1">
      <alignment horizontal="right" vertical="top"/>
      <protection hidden="1"/>
    </xf>
    <xf numFmtId="0" fontId="44" fillId="21" borderId="32" xfId="4" applyFont="1" applyFill="1" applyBorder="1" applyAlignment="1" applyProtection="1">
      <alignment vertical="top"/>
      <protection hidden="1"/>
    </xf>
    <xf numFmtId="4" fontId="43" fillId="22" borderId="21" xfId="4" applyNumberFormat="1" applyFont="1" applyFill="1" applyBorder="1" applyAlignment="1" applyProtection="1">
      <alignment horizontal="right" vertical="top"/>
      <protection hidden="1"/>
    </xf>
    <xf numFmtId="0" fontId="43" fillId="22" borderId="0" xfId="4" applyFont="1" applyFill="1" applyBorder="1" applyAlignment="1" applyProtection="1">
      <alignment horizontal="right" vertical="top"/>
      <protection hidden="1"/>
    </xf>
    <xf numFmtId="0" fontId="43" fillId="0" borderId="22" xfId="4" applyFont="1" applyFill="1" applyBorder="1" applyAlignment="1" applyProtection="1">
      <alignment vertical="top"/>
      <protection hidden="1"/>
    </xf>
    <xf numFmtId="0" fontId="44" fillId="22" borderId="32" xfId="4" applyFont="1" applyFill="1" applyBorder="1" applyAlignment="1" applyProtection="1">
      <alignment vertical="top"/>
      <protection hidden="1"/>
    </xf>
    <xf numFmtId="0" fontId="44" fillId="0" borderId="0" xfId="4" applyFont="1" applyFill="1" applyBorder="1" applyAlignment="1" applyProtection="1">
      <alignment horizontal="right" vertical="top"/>
      <protection hidden="1"/>
    </xf>
    <xf numFmtId="0" fontId="44" fillId="0" borderId="21" xfId="4" applyFont="1" applyFill="1" applyBorder="1" applyAlignment="1" applyProtection="1">
      <alignment vertical="top"/>
      <protection hidden="1"/>
    </xf>
    <xf numFmtId="4" fontId="47" fillId="22" borderId="21" xfId="4" applyNumberFormat="1" applyFont="1" applyFill="1" applyBorder="1" applyAlignment="1" applyProtection="1">
      <alignment horizontal="right" vertical="top" wrapText="1"/>
      <protection hidden="1"/>
    </xf>
    <xf numFmtId="4" fontId="40" fillId="0" borderId="21" xfId="4" applyNumberFormat="1" applyFont="1" applyFill="1" applyBorder="1" applyAlignment="1" applyProtection="1">
      <alignment horizontal="right" vertical="top"/>
      <protection hidden="1"/>
    </xf>
    <xf numFmtId="0" fontId="43" fillId="0" borderId="0" xfId="4" applyFont="1" applyFill="1" applyBorder="1" applyAlignment="1" applyProtection="1">
      <alignment horizontal="left" vertical="top"/>
      <protection hidden="1"/>
    </xf>
    <xf numFmtId="0" fontId="40" fillId="0" borderId="0" xfId="4" applyFont="1" applyFill="1" applyBorder="1" applyAlignment="1" applyProtection="1">
      <alignment horizontal="right" vertical="top"/>
      <protection hidden="1"/>
    </xf>
    <xf numFmtId="0" fontId="37" fillId="0" borderId="0" xfId="4" applyFont="1" applyFill="1" applyBorder="1" applyAlignment="1" applyProtection="1">
      <alignment horizontal="right" vertical="top"/>
      <protection hidden="1"/>
    </xf>
    <xf numFmtId="0" fontId="37" fillId="0" borderId="21" xfId="4" applyFont="1" applyBorder="1" applyAlignment="1" applyProtection="1">
      <alignment horizontal="right" vertical="top"/>
      <protection hidden="1"/>
    </xf>
    <xf numFmtId="0" fontId="37" fillId="0" borderId="0" xfId="4" applyFont="1" applyBorder="1" applyAlignment="1" applyProtection="1">
      <alignment horizontal="right" vertical="top"/>
      <protection hidden="1"/>
    </xf>
    <xf numFmtId="4" fontId="40" fillId="0" borderId="0" xfId="4" applyNumberFormat="1" applyFont="1" applyBorder="1" applyAlignment="1" applyProtection="1">
      <alignment vertical="top"/>
      <protection hidden="1"/>
    </xf>
    <xf numFmtId="0" fontId="43" fillId="0" borderId="22" xfId="4" applyFont="1" applyBorder="1" applyAlignment="1" applyProtection="1">
      <alignment vertical="top"/>
      <protection hidden="1"/>
    </xf>
    <xf numFmtId="49" fontId="45" fillId="0" borderId="0" xfId="4" applyNumberFormat="1" applyFont="1" applyFill="1" applyBorder="1" applyAlignment="1" applyProtection="1">
      <alignment vertical="top"/>
      <protection hidden="1"/>
    </xf>
    <xf numFmtId="167" fontId="43" fillId="0" borderId="0" xfId="5" applyFont="1" applyFill="1" applyBorder="1" applyAlignment="1" applyProtection="1">
      <alignment horizontal="left" vertical="top"/>
      <protection hidden="1"/>
    </xf>
    <xf numFmtId="4" fontId="40" fillId="22" borderId="24" xfId="4" applyNumberFormat="1" applyFont="1" applyFill="1" applyBorder="1" applyAlignment="1" applyProtection="1">
      <alignment horizontal="right" vertical="top"/>
      <protection hidden="1"/>
    </xf>
    <xf numFmtId="0" fontId="40" fillId="22" borderId="25" xfId="4" applyFont="1" applyFill="1" applyBorder="1" applyAlignment="1" applyProtection="1">
      <alignment horizontal="right" vertical="top"/>
      <protection hidden="1"/>
    </xf>
    <xf numFmtId="0" fontId="48" fillId="0" borderId="25" xfId="4" applyFont="1" applyFill="1" applyBorder="1" applyAlignment="1" applyProtection="1">
      <alignment vertical="top"/>
      <protection hidden="1"/>
    </xf>
    <xf numFmtId="49" fontId="48" fillId="0" borderId="25" xfId="4" applyNumberFormat="1" applyFont="1" applyFill="1" applyBorder="1" applyAlignment="1" applyProtection="1">
      <alignment vertical="top"/>
      <protection hidden="1"/>
    </xf>
    <xf numFmtId="49" fontId="39" fillId="0" borderId="25" xfId="4" applyNumberFormat="1" applyFont="1" applyBorder="1" applyAlignment="1" applyProtection="1">
      <alignment vertical="top"/>
      <protection hidden="1"/>
    </xf>
    <xf numFmtId="168" fontId="48" fillId="0" borderId="25" xfId="4" applyNumberFormat="1" applyFont="1" applyFill="1" applyBorder="1" applyAlignment="1" applyProtection="1">
      <alignment horizontal="left" vertical="top"/>
      <protection hidden="1"/>
    </xf>
    <xf numFmtId="0" fontId="48" fillId="0" borderId="25" xfId="4" applyFont="1" applyBorder="1" applyAlignment="1" applyProtection="1">
      <alignment horizontal="right" vertical="top"/>
      <protection hidden="1"/>
    </xf>
    <xf numFmtId="0" fontId="48" fillId="0" borderId="25" xfId="4" applyFont="1" applyBorder="1" applyAlignment="1" applyProtection="1">
      <alignment vertical="top"/>
      <protection hidden="1"/>
    </xf>
    <xf numFmtId="0" fontId="48" fillId="0" borderId="25" xfId="4" applyFont="1" applyBorder="1" applyAlignment="1" applyProtection="1">
      <alignment horizontal="center" vertical="top"/>
      <protection hidden="1"/>
    </xf>
    <xf numFmtId="0" fontId="48" fillId="0" borderId="26" xfId="4" applyFont="1" applyBorder="1" applyAlignment="1" applyProtection="1">
      <alignment vertical="top"/>
      <protection hidden="1"/>
    </xf>
    <xf numFmtId="0" fontId="48" fillId="0" borderId="0" xfId="4" applyFont="1" applyAlignment="1" applyProtection="1">
      <alignment vertical="top"/>
      <protection hidden="1"/>
    </xf>
    <xf numFmtId="0" fontId="35" fillId="0" borderId="0" xfId="4" applyAlignment="1" applyProtection="1">
      <alignment horizontal="left" vertical="top"/>
      <protection hidden="1"/>
    </xf>
    <xf numFmtId="0" fontId="35" fillId="0" borderId="0" xfId="4" applyAlignment="1" applyProtection="1">
      <alignment horizontal="right" vertical="top"/>
      <protection hidden="1"/>
    </xf>
    <xf numFmtId="4" fontId="35" fillId="0" borderId="0" xfId="4" applyNumberFormat="1" applyAlignment="1" applyProtection="1">
      <alignment vertical="top"/>
      <protection hidden="1"/>
    </xf>
    <xf numFmtId="0" fontId="41" fillId="0" borderId="0" xfId="4" applyFont="1" applyFill="1" applyBorder="1"/>
    <xf numFmtId="0" fontId="41" fillId="0" borderId="0" xfId="4" applyFont="1" applyFill="1" applyBorder="1" applyAlignment="1">
      <alignment horizontal="right"/>
    </xf>
    <xf numFmtId="0" fontId="37" fillId="0" borderId="0" xfId="4" applyFont="1" applyFill="1" applyBorder="1"/>
    <xf numFmtId="0" fontId="37" fillId="0" borderId="0" xfId="4" applyFont="1" applyFill="1" applyBorder="1" applyAlignment="1" applyProtection="1">
      <alignment horizontal="left" vertical="center"/>
      <protection hidden="1"/>
    </xf>
    <xf numFmtId="0" fontId="37" fillId="0" borderId="0" xfId="4" applyFont="1" applyFill="1" applyBorder="1" applyAlignment="1">
      <alignment horizontal="center" vertical="center"/>
    </xf>
    <xf numFmtId="171" fontId="37" fillId="0" borderId="0" xfId="6" applyNumberFormat="1" applyFont="1" applyFill="1" applyBorder="1" applyAlignment="1" applyProtection="1">
      <alignment horizontal="right" vertical="center"/>
      <protection hidden="1"/>
    </xf>
    <xf numFmtId="14" fontId="43" fillId="0" borderId="2" xfId="4" applyNumberFormat="1" applyFont="1" applyBorder="1" applyAlignment="1" applyProtection="1">
      <alignment horizontal="left" vertical="top"/>
      <protection hidden="1"/>
    </xf>
    <xf numFmtId="0" fontId="43" fillId="21" borderId="1" xfId="4" applyFont="1" applyFill="1" applyBorder="1" applyAlignment="1" applyProtection="1">
      <alignment horizontal="left" vertical="top"/>
      <protection hidden="1"/>
    </xf>
    <xf numFmtId="0" fontId="43" fillId="0" borderId="2" xfId="4" applyFont="1" applyBorder="1" applyAlignment="1" applyProtection="1">
      <alignment vertical="top"/>
      <protection hidden="1"/>
    </xf>
    <xf numFmtId="0" fontId="43" fillId="0" borderId="2" xfId="4" applyNumberFormat="1" applyFont="1" applyFill="1" applyBorder="1" applyAlignment="1" applyProtection="1">
      <alignment horizontal="left" vertical="top"/>
      <protection hidden="1"/>
    </xf>
    <xf numFmtId="0" fontId="43" fillId="0" borderId="2" xfId="4" applyFont="1" applyFill="1" applyBorder="1" applyAlignment="1" applyProtection="1">
      <alignment horizontal="right" vertical="top"/>
      <protection hidden="1"/>
    </xf>
    <xf numFmtId="4" fontId="43" fillId="0" borderId="2" xfId="4" applyNumberFormat="1" applyFont="1" applyFill="1" applyBorder="1" applyAlignment="1" applyProtection="1">
      <alignment horizontal="right" vertical="top"/>
      <protection hidden="1"/>
    </xf>
    <xf numFmtId="4" fontId="43" fillId="21" borderId="2" xfId="4" applyNumberFormat="1" applyFont="1" applyFill="1" applyBorder="1" applyAlignment="1" applyProtection="1">
      <alignment horizontal="center" vertical="top"/>
      <protection hidden="1"/>
    </xf>
    <xf numFmtId="4" fontId="43" fillId="0" borderId="1" xfId="4" applyNumberFormat="1" applyFont="1" applyFill="1" applyBorder="1" applyAlignment="1" applyProtection="1">
      <alignment horizontal="right" vertical="top"/>
      <protection hidden="1"/>
    </xf>
    <xf numFmtId="4" fontId="40" fillId="22" borderId="0" xfId="4" applyNumberFormat="1" applyFont="1" applyFill="1" applyBorder="1" applyAlignment="1" applyProtection="1">
      <alignment horizontal="right" vertical="top" wrapText="1"/>
      <protection hidden="1"/>
    </xf>
    <xf numFmtId="4" fontId="40" fillId="22" borderId="0" xfId="4" applyNumberFormat="1" applyFont="1" applyFill="1" applyBorder="1" applyAlignment="1" applyProtection="1">
      <alignment vertical="top"/>
      <protection hidden="1"/>
    </xf>
    <xf numFmtId="0" fontId="35" fillId="0" borderId="0" xfId="4" applyProtection="1">
      <protection hidden="1"/>
    </xf>
    <xf numFmtId="0" fontId="46" fillId="22" borderId="22" xfId="4" applyFont="1" applyFill="1" applyBorder="1" applyAlignment="1" applyProtection="1">
      <alignment vertical="top"/>
      <protection hidden="1"/>
    </xf>
    <xf numFmtId="0" fontId="49" fillId="0" borderId="0" xfId="0" applyFont="1" applyProtection="1">
      <protection hidden="1"/>
    </xf>
    <xf numFmtId="0" fontId="0" fillId="0" borderId="0" xfId="0" applyProtection="1">
      <protection hidden="1"/>
    </xf>
    <xf numFmtId="2" fontId="0" fillId="0" borderId="0" xfId="0" applyNumberFormat="1" applyProtection="1">
      <protection hidden="1"/>
    </xf>
    <xf numFmtId="0" fontId="0" fillId="0" borderId="0" xfId="0" applyFill="1" applyProtection="1">
      <protection hidden="1"/>
    </xf>
    <xf numFmtId="0" fontId="5" fillId="0" borderId="0" xfId="3" applyAlignment="1"/>
    <xf numFmtId="0" fontId="10" fillId="5" borderId="1" xfId="0" applyFont="1" applyFill="1" applyBorder="1" applyAlignment="1" applyProtection="1"/>
    <xf numFmtId="172" fontId="10" fillId="5" borderId="1" xfId="0" applyNumberFormat="1" applyFont="1" applyFill="1" applyBorder="1" applyAlignment="1">
      <alignment wrapText="1"/>
    </xf>
    <xf numFmtId="0" fontId="0" fillId="0" borderId="0" xfId="0" applyFill="1" applyBorder="1" applyAlignment="1" applyProtection="1">
      <protection locked="0"/>
    </xf>
    <xf numFmtId="0" fontId="7" fillId="0" borderId="0" xfId="0" applyNumberFormat="1" applyFont="1" applyFill="1" applyBorder="1" applyAlignment="1" applyProtection="1">
      <protection locked="0"/>
    </xf>
    <xf numFmtId="0" fontId="10" fillId="2" borderId="0" xfId="0" applyNumberFormat="1" applyFont="1" applyFill="1" applyAlignment="1">
      <alignment wrapText="1"/>
    </xf>
    <xf numFmtId="0" fontId="5" fillId="0" borderId="0" xfId="3" applyAlignment="1">
      <alignment wrapText="1"/>
    </xf>
    <xf numFmtId="4" fontId="10" fillId="5" borderId="1" xfId="1" applyNumberFormat="1" applyFont="1" applyFill="1" applyBorder="1" applyAlignment="1">
      <alignment horizontal="right" wrapText="1"/>
    </xf>
    <xf numFmtId="4" fontId="27" fillId="5" borderId="1" xfId="1" applyNumberFormat="1" applyFont="1" applyFill="1" applyBorder="1" applyAlignment="1">
      <alignment horizontal="right"/>
    </xf>
    <xf numFmtId="0" fontId="51" fillId="6" borderId="5" xfId="0" applyFont="1" applyFill="1" applyBorder="1" applyAlignment="1">
      <alignment horizontal="left" vertical="center"/>
    </xf>
    <xf numFmtId="40" fontId="38" fillId="6" borderId="6" xfId="0" applyNumberFormat="1" applyFont="1" applyFill="1" applyBorder="1" applyAlignment="1">
      <alignment horizontal="left" vertical="center"/>
    </xf>
    <xf numFmtId="40" fontId="41" fillId="6" borderId="6" xfId="0" applyNumberFormat="1" applyFont="1" applyFill="1" applyBorder="1" applyAlignment="1">
      <alignment horizontal="left" vertical="center"/>
    </xf>
    <xf numFmtId="0" fontId="39" fillId="6" borderId="6" xfId="0" applyFont="1" applyFill="1" applyBorder="1" applyAlignment="1">
      <alignment horizontal="center" vertical="center"/>
    </xf>
    <xf numFmtId="14" fontId="38" fillId="6" borderId="6" xfId="0" applyNumberFormat="1" applyFont="1" applyFill="1" applyBorder="1" applyAlignment="1">
      <alignment horizontal="left" vertical="center"/>
    </xf>
    <xf numFmtId="49" fontId="38" fillId="6" borderId="6" xfId="0" applyNumberFormat="1" applyFont="1" applyFill="1" applyBorder="1" applyAlignment="1">
      <alignment horizontal="center" vertical="center"/>
    </xf>
    <xf numFmtId="169" fontId="38" fillId="6" borderId="6" xfId="0" applyNumberFormat="1" applyFont="1" applyFill="1" applyBorder="1" applyAlignment="1">
      <alignment horizontal="center" vertical="center"/>
    </xf>
    <xf numFmtId="169" fontId="38" fillId="6" borderId="7" xfId="0" applyNumberFormat="1" applyFont="1" applyFill="1" applyBorder="1" applyAlignment="1">
      <alignment horizontal="center" vertical="center"/>
    </xf>
    <xf numFmtId="0" fontId="48" fillId="0" borderId="22" xfId="0" applyFont="1" applyBorder="1" applyAlignment="1"/>
    <xf numFmtId="0" fontId="50" fillId="0" borderId="0" xfId="0" applyFont="1"/>
    <xf numFmtId="0" fontId="52" fillId="0" borderId="21" xfId="0" applyFont="1" applyBorder="1"/>
    <xf numFmtId="0" fontId="52" fillId="0" borderId="0" xfId="0" applyFont="1" applyBorder="1"/>
    <xf numFmtId="1" fontId="53" fillId="0" borderId="0" xfId="0" applyNumberFormat="1" applyFont="1" applyFill="1" applyBorder="1" applyAlignment="1">
      <alignment horizontal="center" vertical="center"/>
    </xf>
    <xf numFmtId="0" fontId="39" fillId="0" borderId="0" xfId="0" applyFont="1" applyBorder="1" applyAlignment="1"/>
    <xf numFmtId="4" fontId="39" fillId="0" borderId="0" xfId="0" applyNumberFormat="1" applyFont="1" applyBorder="1" applyAlignment="1"/>
    <xf numFmtId="49" fontId="52" fillId="0" borderId="0" xfId="0" applyNumberFormat="1" applyFont="1" applyBorder="1"/>
    <xf numFmtId="0" fontId="0" fillId="0" borderId="0" xfId="0" applyProtection="1"/>
    <xf numFmtId="0" fontId="0" fillId="3" borderId="0" xfId="0" applyFill="1" applyProtection="1"/>
    <xf numFmtId="0" fontId="0" fillId="13" borderId="0" xfId="0" applyFill="1" applyProtection="1"/>
    <xf numFmtId="0" fontId="0" fillId="14" borderId="0" xfId="0" applyFill="1" applyProtection="1"/>
    <xf numFmtId="0" fontId="0" fillId="15" borderId="0" xfId="0" applyFill="1" applyProtection="1"/>
    <xf numFmtId="0" fontId="0" fillId="20" borderId="0" xfId="0" applyFill="1" applyProtection="1"/>
    <xf numFmtId="0" fontId="0" fillId="18" borderId="0" xfId="0" applyFill="1" applyProtection="1"/>
    <xf numFmtId="0" fontId="0" fillId="19" borderId="0" xfId="0" applyFill="1" applyProtection="1"/>
    <xf numFmtId="0" fontId="0" fillId="16" borderId="0" xfId="0" applyFill="1" applyProtection="1"/>
    <xf numFmtId="0" fontId="0" fillId="17" borderId="0" xfId="0" applyFill="1" applyProtection="1"/>
    <xf numFmtId="40" fontId="41" fillId="6" borderId="6" xfId="0" applyNumberFormat="1" applyFont="1" applyFill="1" applyBorder="1" applyAlignment="1">
      <alignment horizontal="left" vertical="center" indent="1"/>
    </xf>
    <xf numFmtId="173" fontId="40" fillId="0" borderId="0" xfId="4" applyNumberFormat="1" applyFont="1" applyBorder="1" applyAlignment="1" applyProtection="1">
      <alignment horizontal="right" vertical="top"/>
      <protection hidden="1"/>
    </xf>
    <xf numFmtId="0" fontId="7" fillId="6" borderId="0" xfId="0" applyNumberFormat="1" applyFont="1" applyFill="1"/>
    <xf numFmtId="0" fontId="32" fillId="6" borderId="0" xfId="0" applyNumberFormat="1" applyFont="1" applyFill="1" applyAlignment="1" applyProtection="1">
      <alignment shrinkToFit="1"/>
      <protection locked="0"/>
    </xf>
    <xf numFmtId="0" fontId="0" fillId="6" borderId="0" xfId="0" applyFill="1" applyAlignment="1">
      <alignment horizontal="center" vertical="center" wrapText="1"/>
    </xf>
    <xf numFmtId="0" fontId="0" fillId="6" borderId="0" xfId="0" applyFill="1"/>
    <xf numFmtId="14" fontId="7" fillId="0" borderId="0" xfId="0" applyNumberFormat="1" applyFont="1" applyFill="1" applyBorder="1" applyAlignment="1" applyProtection="1">
      <alignment vertical="justify"/>
      <protection locked="0"/>
    </xf>
    <xf numFmtId="0" fontId="34" fillId="4" borderId="0" xfId="0" applyFont="1" applyFill="1" applyAlignment="1" applyProtection="1">
      <alignment horizontal="left" vertical="top" wrapText="1"/>
    </xf>
    <xf numFmtId="0" fontId="28" fillId="4" borderId="0" xfId="0" applyFont="1" applyFill="1" applyAlignment="1" applyProtection="1">
      <alignment horizontal="left" vertical="top" wrapText="1"/>
    </xf>
    <xf numFmtId="0" fontId="54" fillId="4" borderId="0" xfId="0" applyFont="1" applyFill="1" applyAlignment="1" applyProtection="1">
      <alignment horizontal="left" vertical="top"/>
    </xf>
    <xf numFmtId="0" fontId="0" fillId="4" borderId="0" xfId="0" applyFont="1" applyFill="1" applyAlignment="1" applyProtection="1">
      <alignment vertical="top"/>
    </xf>
    <xf numFmtId="0" fontId="0" fillId="24" borderId="0" xfId="0" applyFill="1" applyAlignment="1">
      <alignment horizontal="center" vertical="center" wrapText="1"/>
    </xf>
    <xf numFmtId="0" fontId="0" fillId="24" borderId="0" xfId="0" applyFill="1"/>
    <xf numFmtId="0" fontId="43" fillId="22" borderId="1" xfId="4" applyFont="1" applyFill="1" applyBorder="1" applyAlignment="1" applyProtection="1">
      <alignment horizontal="left" vertical="top"/>
      <protection hidden="1"/>
    </xf>
    <xf numFmtId="165" fontId="7" fillId="6" borderId="6" xfId="0" applyNumberFormat="1" applyFont="1" applyFill="1" applyBorder="1" applyAlignment="1" applyProtection="1">
      <alignment horizontal="right"/>
      <protection locked="0"/>
    </xf>
    <xf numFmtId="0" fontId="7" fillId="6" borderId="0" xfId="0" applyNumberFormat="1" applyFont="1" applyFill="1" applyProtection="1">
      <protection locked="0"/>
    </xf>
    <xf numFmtId="0" fontId="37" fillId="0" borderId="0" xfId="14" applyFont="1" applyFill="1" applyBorder="1"/>
    <xf numFmtId="0" fontId="41" fillId="0" borderId="0" xfId="14" applyFont="1" applyFill="1" applyBorder="1"/>
    <xf numFmtId="0" fontId="37" fillId="0" borderId="0" xfId="14" applyFont="1" applyFill="1" applyBorder="1" applyAlignment="1" applyProtection="1">
      <alignment horizontal="left"/>
      <protection hidden="1"/>
    </xf>
    <xf numFmtId="0" fontId="37" fillId="0" borderId="0" xfId="14" applyFont="1" applyFill="1" applyBorder="1" applyAlignment="1" applyProtection="1">
      <alignment horizontal="right" vertical="center"/>
      <protection hidden="1"/>
    </xf>
    <xf numFmtId="0" fontId="41" fillId="0" borderId="0" xfId="14" applyFont="1" applyFill="1" applyBorder="1" applyAlignment="1">
      <alignment horizontal="right"/>
    </xf>
    <xf numFmtId="0" fontId="43" fillId="0" borderId="30" xfId="0" applyFont="1" applyBorder="1" applyAlignment="1" applyProtection="1">
      <alignment horizontal="center" vertical="top"/>
    </xf>
    <xf numFmtId="14" fontId="43" fillId="22" borderId="1" xfId="0" applyNumberFormat="1" applyFont="1" applyFill="1" applyBorder="1" applyAlignment="1" applyProtection="1">
      <alignment horizontal="left" vertical="top"/>
    </xf>
    <xf numFmtId="0" fontId="43" fillId="22" borderId="1" xfId="0" applyFont="1" applyFill="1" applyBorder="1" applyAlignment="1" applyProtection="1">
      <alignment vertical="top"/>
    </xf>
    <xf numFmtId="0" fontId="43" fillId="22" borderId="1" xfId="0" applyFont="1" applyFill="1" applyBorder="1" applyAlignment="1" applyProtection="1">
      <alignment horizontal="left" vertical="top"/>
    </xf>
    <xf numFmtId="0" fontId="43" fillId="22" borderId="2" xfId="0" applyFont="1" applyFill="1" applyBorder="1" applyAlignment="1" applyProtection="1">
      <alignment horizontal="left" vertical="top"/>
    </xf>
    <xf numFmtId="49" fontId="43" fillId="22" borderId="1" xfId="0" applyNumberFormat="1" applyFont="1" applyFill="1" applyBorder="1" applyAlignment="1" applyProtection="1">
      <alignment horizontal="left" vertical="top"/>
    </xf>
    <xf numFmtId="0" fontId="43" fillId="22" borderId="2" xfId="0" applyFont="1" applyFill="1" applyBorder="1" applyAlignment="1" applyProtection="1">
      <alignment horizontal="right" vertical="top"/>
    </xf>
    <xf numFmtId="0" fontId="43" fillId="22" borderId="1" xfId="0" applyFont="1" applyFill="1" applyBorder="1" applyAlignment="1" applyProtection="1">
      <alignment horizontal="right" vertical="top"/>
    </xf>
    <xf numFmtId="4" fontId="43" fillId="22" borderId="1" xfId="0" applyNumberFormat="1" applyFont="1" applyFill="1" applyBorder="1" applyAlignment="1" applyProtection="1">
      <alignment horizontal="right" vertical="top"/>
    </xf>
    <xf numFmtId="4" fontId="43" fillId="22" borderId="2" xfId="0" applyNumberFormat="1" applyFont="1" applyFill="1" applyBorder="1" applyAlignment="1" applyProtection="1">
      <alignment horizontal="right" vertical="top"/>
    </xf>
    <xf numFmtId="4" fontId="43" fillId="22" borderId="2" xfId="0" applyNumberFormat="1" applyFont="1" applyFill="1" applyBorder="1" applyAlignment="1" applyProtection="1">
      <alignment horizontal="center" vertical="top"/>
    </xf>
    <xf numFmtId="4" fontId="43" fillId="22" borderId="2" xfId="0" applyNumberFormat="1" applyFont="1" applyFill="1" applyBorder="1" applyAlignment="1" applyProtection="1">
      <alignment vertical="top"/>
    </xf>
    <xf numFmtId="4" fontId="43" fillId="22" borderId="31" xfId="0" applyNumberFormat="1" applyFont="1" applyFill="1" applyBorder="1" applyAlignment="1" applyProtection="1">
      <alignment vertical="top"/>
    </xf>
    <xf numFmtId="3" fontId="42" fillId="23" borderId="0" xfId="0" applyNumberFormat="1" applyFont="1" applyFill="1" applyAlignment="1" applyProtection="1">
      <alignment vertical="top"/>
    </xf>
    <xf numFmtId="0" fontId="42" fillId="0" borderId="0" xfId="0" applyFont="1" applyAlignment="1" applyProtection="1">
      <alignment vertical="top"/>
    </xf>
    <xf numFmtId="3" fontId="42" fillId="23" borderId="0" xfId="0" applyNumberFormat="1" applyFont="1" applyFill="1" applyAlignment="1" applyProtection="1">
      <alignment vertical="top"/>
      <protection hidden="1"/>
    </xf>
    <xf numFmtId="0" fontId="42" fillId="0" borderId="0" xfId="0" applyFont="1" applyAlignment="1" applyProtection="1">
      <alignment vertical="top"/>
      <protection hidden="1"/>
    </xf>
    <xf numFmtId="0" fontId="0" fillId="0" borderId="0" xfId="0" applyAlignment="1" applyProtection="1">
      <alignment vertical="top"/>
      <protection hidden="1"/>
    </xf>
    <xf numFmtId="0" fontId="15" fillId="0" borderId="0" xfId="14" applyFont="1" applyFill="1" applyBorder="1"/>
    <xf numFmtId="0" fontId="17" fillId="10" borderId="0" xfId="0" applyFont="1" applyFill="1"/>
    <xf numFmtId="0" fontId="0" fillId="25" borderId="0" xfId="0" applyFill="1" applyAlignment="1">
      <alignment horizontal="center" vertical="center" wrapText="1"/>
    </xf>
    <xf numFmtId="0" fontId="0" fillId="25" borderId="0" xfId="0" applyFill="1"/>
    <xf numFmtId="172" fontId="0" fillId="25" borderId="0" xfId="0" applyNumberFormat="1" applyFill="1" applyProtection="1">
      <protection locked="0"/>
    </xf>
    <xf numFmtId="0" fontId="7" fillId="10" borderId="6" xfId="0" applyNumberFormat="1" applyFont="1" applyFill="1" applyBorder="1" applyAlignment="1" applyProtection="1">
      <alignment horizontal="center"/>
      <protection locked="0"/>
    </xf>
    <xf numFmtId="49" fontId="19" fillId="10" borderId="6" xfId="0" applyNumberFormat="1" applyFont="1" applyFill="1" applyBorder="1" applyAlignment="1" applyProtection="1">
      <protection locked="0"/>
    </xf>
    <xf numFmtId="4" fontId="0" fillId="10" borderId="0" xfId="0" applyNumberFormat="1" applyFont="1" applyFill="1" applyAlignment="1" applyProtection="1">
      <alignment horizontal="right"/>
      <protection locked="0"/>
    </xf>
    <xf numFmtId="0" fontId="0" fillId="0" borderId="1" xfId="0" applyBorder="1"/>
    <xf numFmtId="0" fontId="30" fillId="0" borderId="1" xfId="0" applyFont="1" applyBorder="1"/>
    <xf numFmtId="0" fontId="30" fillId="14" borderId="1" xfId="3" applyFont="1" applyFill="1" applyBorder="1"/>
    <xf numFmtId="0" fontId="29" fillId="14" borderId="1" xfId="3" applyFont="1" applyFill="1" applyBorder="1" applyAlignment="1">
      <alignment horizontal="center"/>
    </xf>
    <xf numFmtId="0" fontId="0" fillId="14" borderId="1" xfId="0" applyFill="1" applyBorder="1"/>
    <xf numFmtId="0" fontId="30" fillId="14" borderId="1" xfId="0" applyFont="1" applyFill="1" applyBorder="1"/>
    <xf numFmtId="1" fontId="29" fillId="14" borderId="1" xfId="3" applyNumberFormat="1" applyFont="1" applyFill="1" applyBorder="1" applyAlignment="1">
      <alignment horizontal="center" vertical="center"/>
    </xf>
    <xf numFmtId="0" fontId="30" fillId="18" borderId="1" xfId="3" applyFont="1" applyFill="1" applyBorder="1"/>
    <xf numFmtId="0" fontId="30" fillId="18" borderId="1" xfId="3" applyFont="1" applyFill="1" applyBorder="1" applyAlignment="1">
      <alignment wrapText="1"/>
    </xf>
    <xf numFmtId="0" fontId="29" fillId="18" borderId="1" xfId="3" applyFont="1" applyFill="1" applyBorder="1" applyAlignment="1">
      <alignment horizontal="center"/>
    </xf>
    <xf numFmtId="0" fontId="0" fillId="18" borderId="1" xfId="0" applyFill="1" applyBorder="1"/>
    <xf numFmtId="0" fontId="30" fillId="18" borderId="1" xfId="0" applyFont="1" applyFill="1" applyBorder="1"/>
    <xf numFmtId="1" fontId="29" fillId="18" borderId="1" xfId="3" applyNumberFormat="1" applyFont="1" applyFill="1" applyBorder="1" applyAlignment="1">
      <alignment horizontal="center" vertical="center"/>
    </xf>
    <xf numFmtId="0" fontId="30" fillId="3" borderId="1" xfId="3" applyFont="1" applyFill="1" applyBorder="1"/>
    <xf numFmtId="0" fontId="30" fillId="3" borderId="1" xfId="3" applyFont="1" applyFill="1" applyBorder="1" applyAlignment="1">
      <alignment horizontal="center"/>
    </xf>
    <xf numFmtId="0" fontId="0" fillId="3" borderId="1" xfId="0" applyFill="1" applyBorder="1"/>
    <xf numFmtId="0" fontId="30" fillId="3" borderId="1" xfId="0" applyFont="1" applyFill="1" applyBorder="1"/>
    <xf numFmtId="1" fontId="29" fillId="3" borderId="1" xfId="3" applyNumberFormat="1" applyFont="1" applyFill="1" applyBorder="1" applyAlignment="1">
      <alignment horizontal="center" vertical="center"/>
    </xf>
    <xf numFmtId="0" fontId="29" fillId="3" borderId="1" xfId="3" applyFont="1" applyFill="1" applyBorder="1" applyAlignment="1">
      <alignment horizontal="center"/>
    </xf>
    <xf numFmtId="0" fontId="24" fillId="0" borderId="1" xfId="3" applyFont="1" applyFill="1" applyBorder="1" applyAlignment="1">
      <alignment horizontal="center" vertical="center" wrapText="1"/>
    </xf>
    <xf numFmtId="0" fontId="25" fillId="0" borderId="1" xfId="3" applyFont="1" applyFill="1" applyBorder="1" applyAlignment="1">
      <alignment vertical="center"/>
    </xf>
    <xf numFmtId="0" fontId="25" fillId="0" borderId="1" xfId="3" applyFont="1" applyFill="1" applyBorder="1" applyAlignment="1">
      <alignment vertical="center" wrapText="1"/>
    </xf>
    <xf numFmtId="0" fontId="25" fillId="0" borderId="1" xfId="3" applyFont="1" applyFill="1" applyBorder="1" applyAlignment="1">
      <alignment horizontal="center" vertical="center" wrapText="1"/>
    </xf>
    <xf numFmtId="0" fontId="25" fillId="19" borderId="1" xfId="3" applyFont="1" applyFill="1" applyBorder="1" applyAlignment="1">
      <alignment horizontal="center" vertical="center" wrapText="1"/>
    </xf>
    <xf numFmtId="0" fontId="18" fillId="21" borderId="1" xfId="3" applyFont="1" applyFill="1" applyBorder="1" applyAlignment="1">
      <alignment horizontal="center" vertical="center"/>
    </xf>
    <xf numFmtId="2" fontId="18" fillId="0" borderId="1" xfId="3" applyNumberFormat="1" applyFont="1" applyFill="1" applyBorder="1" applyAlignment="1">
      <alignment horizontal="center" vertical="center" wrapText="1"/>
    </xf>
    <xf numFmtId="0" fontId="58" fillId="0" borderId="1" xfId="0" applyFont="1" applyBorder="1" applyAlignment="1">
      <alignment vertical="center"/>
    </xf>
    <xf numFmtId="0" fontId="0" fillId="0" borderId="0" xfId="3" applyFont="1" applyAlignment="1">
      <alignment wrapText="1"/>
    </xf>
    <xf numFmtId="0" fontId="5" fillId="19" borderId="0" xfId="3" applyFill="1" applyAlignment="1">
      <alignment horizontal="center"/>
    </xf>
    <xf numFmtId="0" fontId="48" fillId="0" borderId="24" xfId="0" applyFont="1" applyFill="1" applyBorder="1" applyAlignment="1" applyProtection="1">
      <alignment vertical="top"/>
      <protection hidden="1"/>
    </xf>
    <xf numFmtId="0" fontId="59" fillId="0" borderId="0" xfId="0" applyFont="1" applyProtection="1">
      <protection hidden="1"/>
    </xf>
    <xf numFmtId="4" fontId="59" fillId="0" borderId="0" xfId="0" applyNumberFormat="1" applyFont="1" applyProtection="1">
      <protection hidden="1"/>
    </xf>
    <xf numFmtId="0" fontId="0" fillId="0" borderId="0" xfId="0" applyFont="1" applyFill="1" applyProtection="1">
      <protection hidden="1"/>
    </xf>
    <xf numFmtId="49" fontId="7" fillId="26" borderId="1" xfId="0" applyNumberFormat="1" applyFont="1" applyFill="1" applyBorder="1" applyAlignment="1" applyProtection="1">
      <alignment horizontal="center" vertical="center"/>
      <protection locked="0"/>
    </xf>
    <xf numFmtId="0" fontId="7" fillId="26" borderId="1" xfId="0" applyNumberFormat="1" applyFont="1" applyFill="1" applyBorder="1" applyAlignment="1" applyProtection="1">
      <protection locked="0"/>
    </xf>
    <xf numFmtId="0" fontId="7" fillId="26" borderId="1" xfId="0" applyNumberFormat="1" applyFont="1" applyFill="1" applyBorder="1" applyAlignment="1" applyProtection="1">
      <alignment horizontal="right" vertical="center"/>
      <protection locked="0"/>
    </xf>
    <xf numFmtId="0" fontId="30" fillId="3" borderId="1" xfId="3" applyFont="1" applyFill="1" applyBorder="1" applyAlignment="1">
      <alignment wrapText="1"/>
    </xf>
    <xf numFmtId="0" fontId="0" fillId="18" borderId="0" xfId="0" applyFill="1" applyBorder="1"/>
    <xf numFmtId="0" fontId="0" fillId="0" borderId="0" xfId="0" applyBorder="1"/>
    <xf numFmtId="0" fontId="0" fillId="11" borderId="0" xfId="0" applyFill="1" applyBorder="1"/>
    <xf numFmtId="0" fontId="11" fillId="11" borderId="0" xfId="0" applyFont="1" applyFill="1" applyBorder="1" applyAlignment="1">
      <alignment horizontal="right"/>
    </xf>
    <xf numFmtId="0" fontId="11" fillId="11" borderId="0" xfId="0" applyFont="1" applyFill="1" applyBorder="1"/>
    <xf numFmtId="0" fontId="58" fillId="3" borderId="1" xfId="0" applyFont="1" applyFill="1" applyBorder="1" applyAlignment="1">
      <alignment vertical="center"/>
    </xf>
    <xf numFmtId="0" fontId="17" fillId="0" borderId="0" xfId="0" pivotButton="1" applyFont="1"/>
    <xf numFmtId="0" fontId="17" fillId="0" borderId="0" xfId="0" applyFont="1" applyProtection="1"/>
    <xf numFmtId="164" fontId="17" fillId="0" borderId="0" xfId="0" applyNumberFormat="1" applyFont="1"/>
    <xf numFmtId="0" fontId="7" fillId="10" borderId="6" xfId="0" applyNumberFormat="1" applyFont="1" applyFill="1" applyBorder="1" applyAlignment="1" applyProtection="1">
      <alignment horizontal="center"/>
      <protection locked="0"/>
    </xf>
    <xf numFmtId="0" fontId="17" fillId="0" borderId="1" xfId="0" applyFont="1" applyBorder="1" applyAlignment="1">
      <alignment vertical="distributed"/>
    </xf>
    <xf numFmtId="0" fontId="17" fillId="0" borderId="1" xfId="0" applyFont="1" applyBorder="1" applyAlignment="1">
      <alignment horizontal="center" vertical="distributed"/>
    </xf>
    <xf numFmtId="0" fontId="5" fillId="0" borderId="1" xfId="3" applyBorder="1"/>
    <xf numFmtId="0" fontId="5" fillId="0" borderId="1" xfId="3" applyBorder="1" applyAlignment="1">
      <alignment wrapText="1"/>
    </xf>
    <xf numFmtId="0" fontId="5" fillId="0" borderId="1" xfId="3" applyBorder="1" applyAlignment="1">
      <alignment horizontal="center"/>
    </xf>
    <xf numFmtId="0" fontId="5" fillId="19" borderId="1" xfId="3" applyFill="1" applyBorder="1" applyAlignment="1">
      <alignment horizontal="center"/>
    </xf>
    <xf numFmtId="0" fontId="31" fillId="3" borderId="1" xfId="3" applyFont="1" applyFill="1" applyBorder="1"/>
    <xf numFmtId="0" fontId="0" fillId="0" borderId="1" xfId="3" applyFont="1" applyBorder="1" applyAlignment="1">
      <alignment wrapText="1"/>
    </xf>
    <xf numFmtId="0" fontId="31" fillId="18" borderId="1" xfId="3" applyFont="1" applyFill="1" applyBorder="1"/>
    <xf numFmtId="0" fontId="30" fillId="0" borderId="1" xfId="3" applyFont="1" applyBorder="1"/>
    <xf numFmtId="0" fontId="31" fillId="0" borderId="1" xfId="3" applyFont="1" applyBorder="1"/>
    <xf numFmtId="0" fontId="30" fillId="0" borderId="1" xfId="3" applyFont="1" applyBorder="1" applyAlignment="1">
      <alignment wrapText="1"/>
    </xf>
    <xf numFmtId="0" fontId="30" fillId="0" borderId="1" xfId="3" applyFont="1" applyBorder="1" applyAlignment="1">
      <alignment horizontal="center"/>
    </xf>
    <xf numFmtId="0" fontId="29" fillId="0" borderId="1" xfId="3" applyFont="1" applyBorder="1" applyAlignment="1">
      <alignment horizontal="center"/>
    </xf>
    <xf numFmtId="1" fontId="29" fillId="0" borderId="1" xfId="3" applyNumberFormat="1" applyFont="1" applyBorder="1" applyAlignment="1">
      <alignment horizontal="center" vertical="center"/>
    </xf>
    <xf numFmtId="0" fontId="11" fillId="4" borderId="0" xfId="0" applyFont="1" applyFill="1" applyAlignment="1" applyProtection="1">
      <alignment vertical="top"/>
    </xf>
    <xf numFmtId="0" fontId="0" fillId="4" borderId="0" xfId="0" applyFont="1" applyFill="1" applyAlignment="1" applyProtection="1">
      <alignment horizontal="left" vertical="top" wrapText="1"/>
    </xf>
    <xf numFmtId="0" fontId="34" fillId="4" borderId="0" xfId="0" applyFont="1" applyFill="1" applyAlignment="1" applyProtection="1">
      <alignment horizontal="left" vertical="top" wrapText="1"/>
    </xf>
    <xf numFmtId="0" fontId="28" fillId="4" borderId="0" xfId="0" applyFont="1" applyFill="1" applyAlignment="1" applyProtection="1">
      <alignment horizontal="left" vertical="top" wrapText="1"/>
    </xf>
    <xf numFmtId="0" fontId="0" fillId="4" borderId="0" xfId="0" applyFill="1" applyAlignment="1" applyProtection="1">
      <alignment horizontal="left" vertical="top" wrapText="1"/>
    </xf>
    <xf numFmtId="0" fontId="0" fillId="4" borderId="0" xfId="0" applyFill="1" applyAlignment="1" applyProtection="1">
      <alignment vertical="top"/>
    </xf>
    <xf numFmtId="0" fontId="11" fillId="9" borderId="0" xfId="0" applyFont="1" applyFill="1" applyAlignment="1" applyProtection="1">
      <alignment horizontal="center" vertical="top"/>
    </xf>
    <xf numFmtId="0" fontId="11" fillId="3" borderId="0" xfId="0" applyFont="1" applyFill="1" applyAlignment="1" applyProtection="1">
      <alignment horizontal="center" vertical="top"/>
    </xf>
    <xf numFmtId="0" fontId="21" fillId="4" borderId="0" xfId="0" applyFont="1" applyFill="1" applyAlignment="1" applyProtection="1">
      <alignment horizontal="left" vertical="top" wrapText="1"/>
    </xf>
    <xf numFmtId="0" fontId="55" fillId="4" borderId="0" xfId="0" applyFont="1" applyFill="1" applyAlignment="1" applyProtection="1">
      <alignment horizontal="left" vertical="top" wrapText="1"/>
    </xf>
    <xf numFmtId="0" fontId="12" fillId="4" borderId="0" xfId="0" applyFont="1" applyFill="1" applyAlignment="1" applyProtection="1">
      <alignment horizontal="left" vertical="top" wrapText="1"/>
    </xf>
    <xf numFmtId="0" fontId="7" fillId="10" borderId="5" xfId="0" applyNumberFormat="1" applyFont="1" applyFill="1" applyBorder="1" applyAlignment="1" applyProtection="1">
      <alignment horizontal="center"/>
      <protection locked="0"/>
    </xf>
    <xf numFmtId="0" fontId="7" fillId="10" borderId="6" xfId="0" applyNumberFormat="1" applyFont="1" applyFill="1" applyBorder="1" applyAlignment="1" applyProtection="1">
      <alignment horizontal="center"/>
      <protection locked="0"/>
    </xf>
    <xf numFmtId="0" fontId="7" fillId="10" borderId="7" xfId="0" applyNumberFormat="1" applyFont="1" applyFill="1" applyBorder="1" applyAlignment="1" applyProtection="1">
      <alignment horizontal="center"/>
      <protection locked="0"/>
    </xf>
    <xf numFmtId="0" fontId="11" fillId="4" borderId="0" xfId="0" applyFont="1" applyFill="1" applyAlignment="1" applyProtection="1">
      <alignment horizontal="left" vertical="top" wrapText="1"/>
    </xf>
    <xf numFmtId="0" fontId="6" fillId="4" borderId="3" xfId="0" applyNumberFormat="1" applyFont="1" applyFill="1" applyBorder="1" applyAlignment="1">
      <alignment horizontal="center" vertical="center" wrapText="1"/>
    </xf>
    <xf numFmtId="0" fontId="10" fillId="5" borderId="3" xfId="0" applyFont="1" applyFill="1" applyBorder="1" applyAlignment="1">
      <alignment horizontal="center"/>
    </xf>
    <xf numFmtId="0" fontId="14" fillId="2" borderId="3" xfId="0" applyFont="1" applyFill="1" applyBorder="1" applyAlignment="1">
      <alignment horizontal="center"/>
    </xf>
    <xf numFmtId="0" fontId="13" fillId="5" borderId="3" xfId="0" applyFont="1" applyFill="1" applyBorder="1" applyAlignment="1">
      <alignment horizontal="right"/>
    </xf>
    <xf numFmtId="0" fontId="10" fillId="2" borderId="5" xfId="0" applyFont="1" applyFill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13" fillId="0" borderId="14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2" fontId="10" fillId="5" borderId="9" xfId="0" applyNumberFormat="1" applyFont="1" applyFill="1" applyBorder="1" applyAlignment="1">
      <alignment wrapText="1"/>
    </xf>
    <xf numFmtId="2" fontId="10" fillId="5" borderId="0" xfId="0" applyNumberFormat="1" applyFont="1" applyFill="1" applyBorder="1" applyAlignment="1">
      <alignment wrapText="1"/>
    </xf>
    <xf numFmtId="0" fontId="10" fillId="5" borderId="3" xfId="0" applyFont="1" applyFill="1" applyBorder="1" applyAlignment="1">
      <alignment wrapText="1"/>
    </xf>
    <xf numFmtId="0" fontId="10" fillId="5" borderId="6" xfId="0" applyFont="1" applyFill="1" applyBorder="1"/>
    <xf numFmtId="0" fontId="10" fillId="5" borderId="6" xfId="0" applyFont="1" applyFill="1" applyBorder="1" applyAlignment="1">
      <alignment wrapText="1"/>
    </xf>
    <xf numFmtId="4" fontId="40" fillId="0" borderId="0" xfId="4" applyNumberFormat="1" applyFont="1" applyFill="1" applyBorder="1" applyAlignment="1" applyProtection="1">
      <alignment vertical="top"/>
      <protection hidden="1"/>
    </xf>
    <xf numFmtId="0" fontId="43" fillId="0" borderId="22" xfId="4" applyFont="1" applyFill="1" applyBorder="1" applyAlignment="1" applyProtection="1">
      <alignment vertical="top"/>
      <protection hidden="1"/>
    </xf>
    <xf numFmtId="4" fontId="40" fillId="22" borderId="25" xfId="4" applyNumberFormat="1" applyFont="1" applyFill="1" applyBorder="1" applyAlignment="1" applyProtection="1">
      <alignment vertical="top"/>
      <protection hidden="1"/>
    </xf>
    <xf numFmtId="0" fontId="40" fillId="22" borderId="26" xfId="4" applyFont="1" applyFill="1" applyBorder="1" applyAlignment="1" applyProtection="1">
      <alignment vertical="top"/>
      <protection hidden="1"/>
    </xf>
    <xf numFmtId="4" fontId="40" fillId="22" borderId="21" xfId="4" applyNumberFormat="1" applyFont="1" applyFill="1" applyBorder="1" applyAlignment="1" applyProtection="1">
      <alignment horizontal="right" vertical="top" wrapText="1"/>
      <protection hidden="1"/>
    </xf>
    <xf numFmtId="4" fontId="40" fillId="22" borderId="0" xfId="4" applyNumberFormat="1" applyFont="1" applyFill="1" applyBorder="1" applyAlignment="1" applyProtection="1">
      <alignment horizontal="right" vertical="top" wrapText="1"/>
      <protection hidden="1"/>
    </xf>
    <xf numFmtId="4" fontId="40" fillId="22" borderId="0" xfId="4" applyNumberFormat="1" applyFont="1" applyFill="1" applyBorder="1" applyAlignment="1" applyProtection="1">
      <alignment vertical="top"/>
      <protection hidden="1"/>
    </xf>
    <xf numFmtId="0" fontId="46" fillId="22" borderId="22" xfId="4" applyFont="1" applyFill="1" applyBorder="1" applyAlignment="1" applyProtection="1">
      <alignment vertical="top"/>
      <protection hidden="1"/>
    </xf>
    <xf numFmtId="4" fontId="37" fillId="22" borderId="21" xfId="4" applyNumberFormat="1" applyFont="1" applyFill="1" applyBorder="1" applyAlignment="1" applyProtection="1">
      <alignment horizontal="right" vertical="top" wrapText="1"/>
      <protection hidden="1"/>
    </xf>
    <xf numFmtId="4" fontId="37" fillId="22" borderId="0" xfId="4" applyNumberFormat="1" applyFont="1" applyFill="1" applyBorder="1" applyAlignment="1" applyProtection="1">
      <alignment horizontal="right" vertical="top" wrapText="1"/>
      <protection hidden="1"/>
    </xf>
    <xf numFmtId="4" fontId="46" fillId="22" borderId="0" xfId="4" applyNumberFormat="1" applyFont="1" applyFill="1" applyBorder="1" applyAlignment="1" applyProtection="1">
      <alignment vertical="top"/>
      <protection hidden="1"/>
    </xf>
    <xf numFmtId="0" fontId="35" fillId="0" borderId="22" xfId="4" applyBorder="1" applyAlignment="1" applyProtection="1">
      <alignment vertical="top"/>
      <protection hidden="1"/>
    </xf>
    <xf numFmtId="40" fontId="38" fillId="0" borderId="5" xfId="0" applyNumberFormat="1" applyFont="1" applyBorder="1" applyAlignment="1">
      <alignment horizontal="left" vertical="center"/>
    </xf>
    <xf numFmtId="0" fontId="50" fillId="0" borderId="7" xfId="0" applyFont="1" applyBorder="1" applyAlignment="1">
      <alignment horizontal="left" vertical="center"/>
    </xf>
    <xf numFmtId="0" fontId="40" fillId="0" borderId="5" xfId="4" applyNumberFormat="1" applyFont="1" applyBorder="1" applyAlignment="1" applyProtection="1">
      <alignment horizontal="left" vertical="top"/>
      <protection hidden="1"/>
    </xf>
    <xf numFmtId="0" fontId="40" fillId="0" borderId="7" xfId="4" applyNumberFormat="1" applyFont="1" applyBorder="1" applyAlignment="1" applyProtection="1">
      <alignment horizontal="left" vertical="top"/>
      <protection hidden="1"/>
    </xf>
    <xf numFmtId="0" fontId="38" fillId="22" borderId="5" xfId="0" applyFont="1" applyFill="1" applyBorder="1" applyAlignment="1">
      <alignment horizontal="left" vertical="center"/>
    </xf>
    <xf numFmtId="0" fontId="38" fillId="22" borderId="7" xfId="0" applyFont="1" applyFill="1" applyBorder="1" applyAlignment="1">
      <alignment horizontal="left" vertical="center"/>
    </xf>
    <xf numFmtId="0" fontId="43" fillId="22" borderId="1" xfId="4" applyFont="1" applyFill="1" applyBorder="1" applyAlignment="1" applyProtection="1">
      <alignment horizontal="left" vertical="top"/>
      <protection hidden="1"/>
    </xf>
    <xf numFmtId="40" fontId="40" fillId="0" borderId="0" xfId="4" applyNumberFormat="1" applyFont="1" applyBorder="1" applyAlignment="1" applyProtection="1">
      <alignment vertical="top"/>
      <protection hidden="1"/>
    </xf>
    <xf numFmtId="0" fontId="38" fillId="0" borderId="5" xfId="0" applyFont="1" applyBorder="1" applyAlignment="1">
      <alignment horizontal="left" vertical="center"/>
    </xf>
    <xf numFmtId="0" fontId="38" fillId="0" borderId="7" xfId="0" applyFont="1" applyBorder="1" applyAlignment="1">
      <alignment horizontal="left" vertical="center"/>
    </xf>
    <xf numFmtId="4" fontId="43" fillId="22" borderId="19" xfId="4" applyNumberFormat="1" applyFont="1" applyFill="1" applyBorder="1" applyAlignment="1" applyProtection="1">
      <alignment vertical="top"/>
      <protection hidden="1"/>
    </xf>
    <xf numFmtId="0" fontId="43" fillId="22" borderId="20" xfId="4" applyFont="1" applyFill="1" applyBorder="1" applyAlignment="1" applyProtection="1">
      <alignment vertical="top"/>
      <protection hidden="1"/>
    </xf>
    <xf numFmtId="4" fontId="43" fillId="22" borderId="0" xfId="4" applyNumberFormat="1" applyFont="1" applyFill="1" applyBorder="1" applyAlignment="1" applyProtection="1">
      <alignment vertical="top"/>
      <protection hidden="1"/>
    </xf>
    <xf numFmtId="0" fontId="43" fillId="22" borderId="22" xfId="4" applyFont="1" applyFill="1" applyBorder="1" applyAlignment="1" applyProtection="1">
      <alignment vertical="top"/>
      <protection hidden="1"/>
    </xf>
    <xf numFmtId="40" fontId="40" fillId="0" borderId="0" xfId="4" applyNumberFormat="1" applyFont="1" applyBorder="1" applyAlignment="1" applyProtection="1">
      <alignment horizontal="left" vertical="top"/>
      <protection hidden="1"/>
    </xf>
    <xf numFmtId="0" fontId="36" fillId="0" borderId="10" xfId="4" applyFont="1" applyBorder="1" applyAlignment="1" applyProtection="1">
      <alignment horizontal="center" vertical="top"/>
      <protection hidden="1"/>
    </xf>
    <xf numFmtId="0" fontId="36" fillId="0" borderId="11" xfId="4" applyFont="1" applyBorder="1" applyAlignment="1" applyProtection="1">
      <alignment horizontal="center" vertical="top"/>
      <protection hidden="1"/>
    </xf>
    <xf numFmtId="0" fontId="37" fillId="0" borderId="11" xfId="4" applyFont="1" applyBorder="1" applyAlignment="1" applyProtection="1">
      <alignment vertical="top"/>
      <protection hidden="1"/>
    </xf>
    <xf numFmtId="0" fontId="35" fillId="0" borderId="17" xfId="4" applyBorder="1" applyAlignment="1" applyProtection="1">
      <alignment vertical="top"/>
      <protection hidden="1"/>
    </xf>
    <xf numFmtId="14" fontId="40" fillId="0" borderId="5" xfId="4" applyNumberFormat="1" applyFont="1" applyBorder="1" applyAlignment="1" applyProtection="1">
      <alignment horizontal="left" vertical="top"/>
      <protection hidden="1"/>
    </xf>
    <xf numFmtId="14" fontId="35" fillId="0" borderId="7" xfId="4" applyNumberFormat="1" applyBorder="1" applyAlignment="1" applyProtection="1">
      <alignment horizontal="left" vertical="top"/>
      <protection hidden="1"/>
    </xf>
    <xf numFmtId="170" fontId="40" fillId="0" borderId="12" xfId="4" applyNumberFormat="1" applyFont="1" applyBorder="1" applyAlignment="1" applyProtection="1">
      <alignment horizontal="left" vertical="top"/>
      <protection hidden="1"/>
    </xf>
    <xf numFmtId="170" fontId="35" fillId="0" borderId="9" xfId="4" applyNumberFormat="1" applyBorder="1" applyAlignment="1" applyProtection="1">
      <alignment horizontal="left" vertical="top"/>
      <protection hidden="1"/>
    </xf>
    <xf numFmtId="170" fontId="35" fillId="0" borderId="4" xfId="4" applyNumberFormat="1" applyBorder="1" applyAlignment="1" applyProtection="1">
      <alignment horizontal="left" vertical="top"/>
      <protection hidden="1"/>
    </xf>
    <xf numFmtId="0" fontId="40" fillId="0" borderId="0" xfId="4" applyNumberFormat="1" applyFont="1" applyBorder="1" applyAlignment="1" applyProtection="1">
      <alignment horizontal="left" vertical="top"/>
      <protection hidden="1"/>
    </xf>
    <xf numFmtId="40" fontId="38" fillId="0" borderId="7" xfId="0" applyNumberFormat="1" applyFont="1" applyBorder="1" applyAlignment="1">
      <alignment horizontal="left" vertical="center"/>
    </xf>
    <xf numFmtId="40" fontId="40" fillId="0" borderId="16" xfId="4" applyNumberFormat="1" applyFont="1" applyBorder="1" applyAlignment="1" applyProtection="1">
      <alignment vertical="top"/>
      <protection hidden="1"/>
    </xf>
    <xf numFmtId="0" fontId="35" fillId="0" borderId="0" xfId="4" applyBorder="1" applyAlignment="1" applyProtection="1">
      <alignment vertical="top"/>
      <protection hidden="1"/>
    </xf>
    <xf numFmtId="0" fontId="35" fillId="0" borderId="23" xfId="4" applyBorder="1" applyAlignment="1" applyProtection="1">
      <alignment vertical="top"/>
      <protection hidden="1"/>
    </xf>
    <xf numFmtId="0" fontId="40" fillId="0" borderId="5" xfId="4" applyNumberFormat="1" applyFont="1" applyBorder="1" applyAlignment="1" applyProtection="1">
      <alignment vertical="top"/>
      <protection hidden="1"/>
    </xf>
    <xf numFmtId="0" fontId="35" fillId="0" borderId="6" xfId="4" applyBorder="1" applyAlignment="1" applyProtection="1">
      <alignment vertical="top"/>
      <protection hidden="1"/>
    </xf>
    <xf numFmtId="0" fontId="35" fillId="0" borderId="7" xfId="4" applyBorder="1" applyAlignment="1" applyProtection="1">
      <alignment vertical="top"/>
      <protection hidden="1"/>
    </xf>
  </cellXfs>
  <cellStyles count="19">
    <cellStyle name="Comma" xfId="1" builtinId="3"/>
    <cellStyle name="Comma 2" xfId="15" xr:uid="{00000000-0005-0000-0000-000000000000}"/>
    <cellStyle name="Normal" xfId="0" builtinId="0"/>
    <cellStyle name="Normal 2" xfId="3" xr:uid="{00000000-0005-0000-0000-000001000000}"/>
    <cellStyle name="Normal 2 2" xfId="8" xr:uid="{00000000-0005-0000-0000-000002000000}"/>
    <cellStyle name="Normal 2 3" xfId="10" xr:uid="{00000000-0005-0000-0000-000003000000}"/>
    <cellStyle name="Normal 2 4" xfId="13" xr:uid="{00000000-0005-0000-0000-000004000000}"/>
    <cellStyle name="Normal 2 5" xfId="18" xr:uid="{00000000-0005-0000-0000-000005000000}"/>
    <cellStyle name="Normal 3" xfId="14" xr:uid="{00000000-0005-0000-0000-000006000000}"/>
    <cellStyle name="Percent 2" xfId="16" xr:uid="{00000000-0005-0000-0000-000007000000}"/>
    <cellStyle name="Обычный 2" xfId="4" xr:uid="{00000000-0005-0000-0000-000009000000}"/>
    <cellStyle name="Обычный 2 2" xfId="11" xr:uid="{00000000-0005-0000-0000-00000A000000}"/>
    <cellStyle name="Обычный 3" xfId="7" xr:uid="{00000000-0005-0000-0000-00000B000000}"/>
    <cellStyle name="Обычный 4" xfId="9" xr:uid="{00000000-0005-0000-0000-00000C000000}"/>
    <cellStyle name="Обычный 5" xfId="2" xr:uid="{00000000-0005-0000-0000-00000D000000}"/>
    <cellStyle name="Обычный 6" xfId="12" xr:uid="{00000000-0005-0000-0000-00000E000000}"/>
    <cellStyle name="Обычный 7" xfId="17" xr:uid="{00000000-0005-0000-0000-00000F000000}"/>
    <cellStyle name="Процентный 2" xfId="6" xr:uid="{00000000-0005-0000-0000-000010000000}"/>
    <cellStyle name="Финансовый 2" xfId="5" xr:uid="{00000000-0005-0000-0000-000012000000}"/>
  </cellStyles>
  <dxfs count="22">
    <dxf>
      <font>
        <color rgb="FF9C0006"/>
      </font>
      <fill>
        <patternFill>
          <bgColor rgb="FFFFC7CE"/>
        </patternFill>
      </fill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protection locked="1"/>
    </dxf>
    <dxf>
      <numFmt numFmtId="164" formatCode="_-* #,##0.00_₴_-;\-* #,##0.00_₴_-;_-* &quot;-&quot;??_₴_-;_-@_-"/>
    </dxf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</dxfs>
  <tableStyles count="2" defaultTableStyle="TableStyleMedium9" defaultPivotStyle="PivotStyleLight16">
    <tableStyle name="TableStyleMedium2 2" pivot="0" count="7" xr9:uid="{00000000-0011-0000-FFFF-FFFF00000000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  <tableStyle name="TableStyleMedium2 3" pivot="0" count="7" xr9:uid="{00000000-0011-0000-FFFF-FFFF01000000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FFF99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</xdr:row>
          <xdr:rowOff>0</xdr:rowOff>
        </xdr:from>
        <xdr:to>
          <xdr:col>6</xdr:col>
          <xdr:colOff>1733550</xdr:colOff>
          <xdr:row>38</xdr:row>
          <xdr:rowOff>219075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Новый авансовый отчет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23</xdr:row>
          <xdr:rowOff>152400</xdr:rowOff>
        </xdr:from>
        <xdr:to>
          <xdr:col>12</xdr:col>
          <xdr:colOff>590550</xdr:colOff>
          <xdr:row>33</xdr:row>
          <xdr:rowOff>95250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2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Распечатать </a:t>
              </a:r>
            </a:p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(на принтере по умолчанию)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201706</xdr:colOff>
      <xdr:row>0</xdr:row>
      <xdr:rowOff>33618</xdr:rowOff>
    </xdr:from>
    <xdr:to>
      <xdr:col>17</xdr:col>
      <xdr:colOff>323770</xdr:colOff>
      <xdr:row>0</xdr:row>
      <xdr:rowOff>440403</xdr:rowOff>
    </xdr:to>
    <xdr:pic>
      <xdr:nvPicPr>
        <xdr:cNvPr id="3" name="Grafik 6" descr="image00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8881" y="33618"/>
          <a:ext cx="1512714" cy="4067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1924050</xdr:colOff>
          <xdr:row>7</xdr:row>
          <xdr:rowOff>219075</xdr:rowOff>
        </xdr:from>
        <xdr:to>
          <xdr:col>3</xdr:col>
          <xdr:colOff>228600</xdr:colOff>
          <xdr:row>9</xdr:row>
          <xdr:rowOff>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yukhanovaL\OneDrive%20-%20BDF%20Group\Desktop\&#1050;&#1086;&#1087;&#1080;&#1103;%20ar_new%2093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dfgrp-my.sharepoint.com/Users/TyukhanovaL/AppData/Local/Microsoft/Windows/INetCache/Content.Outlook/BKKZBB0T/Form_P2P_13_TnEClai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нструкция"/>
      <sheetName val="Форма для заполнения"/>
      <sheetName val="Авансовый отчет"/>
      <sheetName val="Список работников"/>
      <sheetName val="Исходные данные"/>
      <sheetName val="Travel &amp; Expense Claim"/>
      <sheetName val="Upload"/>
      <sheetName val="Курсы валют"/>
      <sheetName val="Сумма прописью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vel &amp; Expense Claim"/>
      <sheetName val="LOOKUP"/>
      <sheetName val="Upload"/>
    </sheetNames>
    <sheetDataSet>
      <sheetData sheetId="0">
        <row r="47">
          <cell r="P47">
            <v>0</v>
          </cell>
        </row>
      </sheetData>
      <sheetData sheetId="1"/>
      <sheetData sheetId="2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yukhanova, Larisa /BDF MOW" refreshedDate="44102.479934490744" createdVersion="4" refreshedVersion="5" minRefreshableVersion="3" recordCount="20" xr:uid="{00000000-000A-0000-FFFF-FFFF08000000}">
  <cacheSource type="worksheet">
    <worksheetSource ref="E50:I70" sheet="Авансовый отчет"/>
  </cacheSource>
  <cacheFields count="5">
    <cacheField name="5" numFmtId="4">
      <sharedItems/>
    </cacheField>
    <cacheField name="6" numFmtId="165">
      <sharedItems containsNonDate="0" containsString="0" containsBlank="1"/>
    </cacheField>
    <cacheField name="7" numFmtId="165">
      <sharedItems containsNonDate="0" containsString="0" containsBlank="1"/>
    </cacheField>
    <cacheField name="8" numFmtId="165">
      <sharedItems containsNonDate="0" containsString="0" containsBlank="1"/>
    </cacheField>
    <cacheField name="9" numFmtId="172">
      <sharedItems containsSemiMixedTypes="0" containsString="0" containsNumber="1" containsInteger="1" minValue="0" maxValue="0" count="1"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СводнаяТаблица1" cacheId="0" applyNumberFormats="0" applyBorderFormats="0" applyFontFormats="0" applyPatternFormats="0" applyAlignmentFormats="0" applyWidthHeightFormats="1" dataCaption="Значения" updatedVersion="5" minRefreshableVersion="3" useAutoFormatting="1" rowGrandTotals="0" colGrandTotals="0" itemPrintTitles="1" createdVersion="4" indent="0" compact="0" compactData="0" multipleFieldFilters="0" fieldListSortAscending="1">
  <location ref="K25:L26" firstHeaderRow="1" firstDataRow="1" firstDataCol="1"/>
  <pivotFields count="5"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Дебет" axis="axisRow" compact="0" outline="0" showAll="0" sortType="ascending" defaultSubtotal="0">
      <items count="1">
        <item x="0"/>
      </items>
    </pivotField>
  </pivotFields>
  <rowFields count="1">
    <field x="4"/>
  </rowFields>
  <rowItems count="1">
    <i>
      <x/>
    </i>
  </rowItems>
  <colItems count="1">
    <i/>
  </colItems>
  <dataFields count="1">
    <dataField name="Сумма" fld="0" baseField="4" baseItem="0"/>
  </dataFields>
  <formats count="7">
    <format dxfId="7">
      <pivotArea outline="0" collapsedLevelsAreSubtotals="1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4" type="button" dataOnly="0" labelOnly="1" outline="0" axis="axisRow" fieldPosition="0"/>
    </format>
    <format dxfId="2">
      <pivotArea dataOnly="0" labelOnly="1" outline="0" axis="axisValues" fieldPosition="0"/>
    </format>
    <format dxfId="1">
      <pivotArea dataOnly="0" labelOnly="1" outline="0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br.ru/currency_base/daily.aspx" TargetMode="External"/><Relationship Id="rId13" Type="http://schemas.openxmlformats.org/officeDocument/2006/relationships/hyperlink" Target="file:///\\mows0001.Global.BDFGroup.net\BDFdata$\ExchangeFiles\&#1040;&#1074;&#1072;&#1085;&#1089;&#1086;&#1074;&#1099;&#1077;%20&#1086;&#1090;&#1095;&#1077;&#1090;&#1099;" TargetMode="External"/><Relationship Id="rId18" Type="http://schemas.openxmlformats.org/officeDocument/2006/relationships/ctrlProp" Target="../ctrlProps/ctrlProp1.xml"/><Relationship Id="rId3" Type="http://schemas.openxmlformats.org/officeDocument/2006/relationships/hyperlink" Target="file:///\\mows0001.Global.BDFGroup.net\BDFdata$\ExchangeFiles\&#1040;&#1074;&#1072;&#1085;&#1089;&#1086;&#1074;&#1099;&#1077;%20&#1086;&#1090;&#1095;&#1077;&#1090;&#1099;" TargetMode="External"/><Relationship Id="rId7" Type="http://schemas.openxmlformats.org/officeDocument/2006/relationships/hyperlink" Target="file:///\\mows0001.Global.BDFGroup.net\BDFdata$\ExchangeFiles\&#1040;&#1074;&#1072;&#1085;&#1089;&#1086;&#1074;&#1099;&#1077;%20&#1086;&#1090;&#1095;&#1077;&#1090;&#1099;" TargetMode="External"/><Relationship Id="rId12" Type="http://schemas.openxmlformats.org/officeDocument/2006/relationships/hyperlink" Target="http://www.cbr.ru/currency_base/daily.aspx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http://www.cbr.ru/currency_base/daily.aspx" TargetMode="External"/><Relationship Id="rId16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file:///\\mows0001.Global.BDFGroup.net\BDFdata$\ExchangeFiles\&#1040;&#1074;&#1072;&#1085;&#1089;&#1086;&#1074;&#1099;&#1077;%20&#1086;&#1090;&#1095;&#1077;&#1090;&#1099;" TargetMode="External"/><Relationship Id="rId11" Type="http://schemas.openxmlformats.org/officeDocument/2006/relationships/hyperlink" Target="file:///\\mows0001.Global.BDFGroup.net\BDFdata$\ExchangeFiles\&#1040;&#1074;&#1072;&#1085;&#1089;&#1086;&#1074;&#1099;&#1077;%20&#1086;&#1090;&#1095;&#1077;&#1090;&#1099;" TargetMode="External"/><Relationship Id="rId5" Type="http://schemas.openxmlformats.org/officeDocument/2006/relationships/hyperlink" Target="file:///\\mows0001.Global.BDFGroup.net\BDFdata$\ExchangeFiles\&#1040;&#1074;&#1072;&#1085;&#1089;&#1086;&#1074;&#1099;&#1077;%20&#1086;&#1090;&#1095;&#1077;&#1090;&#1099;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http://www.cbr.ru/currency_base/daily.aspx" TargetMode="External"/><Relationship Id="rId4" Type="http://schemas.openxmlformats.org/officeDocument/2006/relationships/hyperlink" Target="http://www.cbr.ru/currency_base/daily.aspx" TargetMode="External"/><Relationship Id="rId9" Type="http://schemas.openxmlformats.org/officeDocument/2006/relationships/hyperlink" Target="file:///\\mows0001.Global.BDFGroup.net\BDFdata$\ExchangeFiles\&#1040;&#1074;&#1072;&#1085;&#1089;&#1086;&#1074;&#1099;&#1077;%20&#1086;&#1090;&#1095;&#1077;&#1090;&#1099;" TargetMode="External"/><Relationship Id="rId14" Type="http://schemas.openxmlformats.org/officeDocument/2006/relationships/hyperlink" Target="http://www.cbr.ru/currency_base/daily.aspx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br.ru/currency_base/daily.aspx" TargetMode="External"/><Relationship Id="rId2" Type="http://schemas.openxmlformats.org/officeDocument/2006/relationships/hyperlink" Target="file:///\\mows0001.Global.BDFGroup.net\BDFdata$\ExchangeFiles\&#1040;&#1074;&#1072;&#1085;&#1089;&#1086;&#1074;&#1099;&#1077;%20&#1086;&#1090;&#1095;&#1077;&#1090;&#1099;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N103"/>
  <sheetViews>
    <sheetView tabSelected="1" zoomScale="86" zoomScaleNormal="86" workbookViewId="0">
      <selection activeCell="F7" sqref="F7"/>
    </sheetView>
  </sheetViews>
  <sheetFormatPr defaultColWidth="9.28515625" defaultRowHeight="12.75" x14ac:dyDescent="0.2"/>
  <cols>
    <col min="1" max="1" width="6.42578125" style="5" bestFit="1" customWidth="1"/>
    <col min="2" max="2" width="22.7109375" style="5" customWidth="1"/>
    <col min="3" max="3" width="10.7109375" style="5" customWidth="1"/>
    <col min="4" max="4" width="18.7109375" style="5" customWidth="1"/>
    <col min="5" max="5" width="35.28515625" style="5" customWidth="1"/>
    <col min="6" max="6" width="17.28515625" style="5" customWidth="1"/>
    <col min="7" max="7" width="30.42578125" style="5" customWidth="1"/>
    <col min="8" max="8" width="12.28515625" style="5" customWidth="1"/>
    <col min="9" max="9" width="13" style="5" customWidth="1"/>
    <col min="10" max="10" width="13.28515625" style="5" customWidth="1"/>
    <col min="11" max="16384" width="9.28515625" style="5"/>
  </cols>
  <sheetData>
    <row r="1" spans="1:7" x14ac:dyDescent="0.2">
      <c r="A1" s="409" t="s">
        <v>20</v>
      </c>
      <c r="B1" s="409"/>
      <c r="C1" s="409"/>
      <c r="D1" s="409"/>
      <c r="E1" s="409"/>
      <c r="F1" s="409"/>
      <c r="G1" s="409"/>
    </row>
    <row r="2" spans="1:7" x14ac:dyDescent="0.2">
      <c r="A2" s="410" t="s">
        <v>21</v>
      </c>
      <c r="B2" s="410"/>
      <c r="C2" s="410"/>
      <c r="D2" s="410"/>
      <c r="E2" s="410"/>
      <c r="F2" s="410"/>
      <c r="G2" s="410"/>
    </row>
    <row r="3" spans="1:7" ht="7.5" customHeight="1" x14ac:dyDescent="0.2">
      <c r="A3" s="131"/>
      <c r="B3" s="408"/>
      <c r="C3" s="408"/>
      <c r="D3" s="408"/>
      <c r="E3" s="408"/>
      <c r="F3" s="408"/>
      <c r="G3" s="408"/>
    </row>
    <row r="4" spans="1:7" ht="13.5" customHeight="1" x14ac:dyDescent="0.2">
      <c r="A4" s="131"/>
      <c r="B4" s="411" t="s">
        <v>1159</v>
      </c>
      <c r="C4" s="411"/>
      <c r="D4" s="411"/>
      <c r="E4" s="411"/>
      <c r="F4" s="411"/>
      <c r="G4" s="411"/>
    </row>
    <row r="5" spans="1:7" ht="7.5" customHeight="1" x14ac:dyDescent="0.2">
      <c r="A5" s="131"/>
      <c r="B5" s="408"/>
      <c r="C5" s="408"/>
      <c r="D5" s="408"/>
      <c r="E5" s="408"/>
      <c r="F5" s="408"/>
      <c r="G5" s="408"/>
    </row>
    <row r="6" spans="1:7" ht="41.25" customHeight="1" x14ac:dyDescent="0.2">
      <c r="A6" s="131" t="s">
        <v>0</v>
      </c>
      <c r="B6" s="407" t="s">
        <v>1143</v>
      </c>
      <c r="C6" s="407"/>
      <c r="D6" s="407"/>
      <c r="E6" s="407"/>
      <c r="F6" s="407"/>
      <c r="G6" s="407"/>
    </row>
    <row r="7" spans="1:7" ht="6.75" customHeight="1" x14ac:dyDescent="0.2">
      <c r="A7" s="131"/>
      <c r="B7" s="132"/>
      <c r="C7" s="131"/>
      <c r="D7" s="131"/>
      <c r="E7" s="131"/>
      <c r="F7" s="131"/>
      <c r="G7" s="131"/>
    </row>
    <row r="8" spans="1:7" ht="28.5" customHeight="1" x14ac:dyDescent="0.2">
      <c r="A8" s="131" t="s">
        <v>1</v>
      </c>
      <c r="B8" s="407" t="s">
        <v>363</v>
      </c>
      <c r="C8" s="407"/>
      <c r="D8" s="407"/>
      <c r="E8" s="407"/>
      <c r="F8" s="407"/>
      <c r="G8" s="407"/>
    </row>
    <row r="9" spans="1:7" ht="14.25" customHeight="1" x14ac:dyDescent="0.2">
      <c r="A9" s="133"/>
      <c r="B9" s="412" t="s">
        <v>22</v>
      </c>
      <c r="C9" s="412"/>
      <c r="D9" s="412"/>
      <c r="E9" s="412"/>
      <c r="F9" s="412"/>
      <c r="G9" s="412"/>
    </row>
    <row r="10" spans="1:7" ht="3" customHeight="1" x14ac:dyDescent="0.2">
      <c r="A10" s="133"/>
      <c r="B10" s="404"/>
      <c r="C10" s="404"/>
      <c r="D10" s="404"/>
      <c r="E10" s="404"/>
      <c r="F10" s="404"/>
      <c r="G10" s="404"/>
    </row>
    <row r="11" spans="1:7" ht="15" customHeight="1" x14ac:dyDescent="0.2">
      <c r="A11" s="131" t="s">
        <v>2</v>
      </c>
      <c r="B11" s="403" t="s">
        <v>296</v>
      </c>
      <c r="C11" s="403"/>
      <c r="D11" s="403"/>
      <c r="E11" s="403"/>
      <c r="F11" s="403"/>
      <c r="G11" s="403"/>
    </row>
    <row r="12" spans="1:7" ht="107.25" customHeight="1" x14ac:dyDescent="0.2">
      <c r="A12" s="136" t="s">
        <v>1160</v>
      </c>
      <c r="B12" s="407" t="s">
        <v>1161</v>
      </c>
      <c r="C12" s="407"/>
      <c r="D12" s="407"/>
      <c r="E12" s="407"/>
      <c r="F12" s="407"/>
      <c r="G12" s="407"/>
    </row>
    <row r="13" spans="1:7" ht="78.75" customHeight="1" x14ac:dyDescent="0.2">
      <c r="A13" s="134" t="s">
        <v>366</v>
      </c>
      <c r="B13" s="407" t="s">
        <v>1152</v>
      </c>
      <c r="C13" s="407"/>
      <c r="D13" s="407"/>
      <c r="E13" s="407"/>
      <c r="F13" s="407"/>
      <c r="G13" s="407"/>
    </row>
    <row r="14" spans="1:7" ht="35.25" customHeight="1" x14ac:dyDescent="0.2">
      <c r="A14" s="134" t="s">
        <v>366</v>
      </c>
      <c r="B14" s="407" t="s">
        <v>362</v>
      </c>
      <c r="C14" s="407"/>
      <c r="D14" s="407"/>
      <c r="E14" s="407"/>
      <c r="F14" s="407"/>
      <c r="G14" s="407"/>
    </row>
    <row r="15" spans="1:7" ht="21" customHeight="1" x14ac:dyDescent="0.2">
      <c r="A15" s="304" t="s">
        <v>13</v>
      </c>
      <c r="B15" s="403" t="s">
        <v>297</v>
      </c>
      <c r="C15" s="403"/>
      <c r="D15" s="403"/>
      <c r="E15" s="403"/>
      <c r="F15" s="403"/>
      <c r="G15" s="403"/>
    </row>
    <row r="16" spans="1:7" ht="44.25" customHeight="1" x14ac:dyDescent="0.2">
      <c r="A16" s="134" t="s">
        <v>366</v>
      </c>
      <c r="B16" s="404" t="s">
        <v>438</v>
      </c>
      <c r="C16" s="404"/>
      <c r="D16" s="404"/>
      <c r="E16" s="404"/>
      <c r="F16" s="404"/>
      <c r="G16" s="404"/>
    </row>
    <row r="17" spans="1:7" ht="81.75" customHeight="1" x14ac:dyDescent="0.2">
      <c r="A17" s="134" t="s">
        <v>366</v>
      </c>
      <c r="B17" s="407" t="s">
        <v>1153</v>
      </c>
      <c r="C17" s="407"/>
      <c r="D17" s="407"/>
      <c r="E17" s="407"/>
      <c r="F17" s="407"/>
      <c r="G17" s="407"/>
    </row>
    <row r="18" spans="1:7" ht="27" customHeight="1" x14ac:dyDescent="0.2">
      <c r="A18" s="134" t="s">
        <v>366</v>
      </c>
      <c r="B18" s="407" t="s">
        <v>439</v>
      </c>
      <c r="C18" s="407"/>
      <c r="D18" s="407"/>
      <c r="E18" s="407"/>
      <c r="F18" s="407"/>
      <c r="G18" s="407"/>
    </row>
    <row r="19" spans="1:7" ht="16.5" customHeight="1" x14ac:dyDescent="0.2">
      <c r="A19" s="131"/>
      <c r="B19" s="407" t="s">
        <v>440</v>
      </c>
      <c r="C19" s="407"/>
      <c r="D19" s="407"/>
      <c r="E19" s="407"/>
      <c r="F19" s="407"/>
      <c r="G19" s="407"/>
    </row>
    <row r="20" spans="1:7" ht="15.75" customHeight="1" x14ac:dyDescent="0.2">
      <c r="A20" s="134" t="s">
        <v>366</v>
      </c>
      <c r="B20" s="407" t="s">
        <v>304</v>
      </c>
      <c r="C20" s="407"/>
      <c r="D20" s="407"/>
      <c r="E20" s="407"/>
      <c r="F20" s="407"/>
      <c r="G20" s="407"/>
    </row>
    <row r="21" spans="1:7" ht="15.75" customHeight="1" x14ac:dyDescent="0.2">
      <c r="A21" s="134" t="s">
        <v>366</v>
      </c>
      <c r="B21" s="407" t="s">
        <v>305</v>
      </c>
      <c r="C21" s="407"/>
      <c r="D21" s="407"/>
      <c r="E21" s="407"/>
      <c r="F21" s="407"/>
      <c r="G21" s="407"/>
    </row>
    <row r="22" spans="1:7" ht="15.75" customHeight="1" x14ac:dyDescent="0.2">
      <c r="A22" s="134" t="s">
        <v>366</v>
      </c>
      <c r="B22" s="407" t="s">
        <v>441</v>
      </c>
      <c r="C22" s="407"/>
      <c r="D22" s="407"/>
      <c r="E22" s="407"/>
      <c r="F22" s="407"/>
      <c r="G22" s="407"/>
    </row>
    <row r="23" spans="1:7" x14ac:dyDescent="0.2">
      <c r="A23" s="134" t="s">
        <v>366</v>
      </c>
      <c r="B23" s="407" t="s">
        <v>1461</v>
      </c>
      <c r="C23" s="407"/>
      <c r="D23" s="407"/>
      <c r="E23" s="407"/>
      <c r="F23" s="407"/>
      <c r="G23" s="407"/>
    </row>
    <row r="24" spans="1:7" ht="27.75" customHeight="1" x14ac:dyDescent="0.2">
      <c r="A24" s="134" t="s">
        <v>366</v>
      </c>
      <c r="B24" s="407" t="s">
        <v>1154</v>
      </c>
      <c r="C24" s="407"/>
      <c r="D24" s="407"/>
      <c r="E24" s="407"/>
      <c r="F24" s="407"/>
      <c r="G24" s="407"/>
    </row>
    <row r="25" spans="1:7" ht="27.75" customHeight="1" x14ac:dyDescent="0.2">
      <c r="A25" s="134" t="s">
        <v>366</v>
      </c>
      <c r="B25" s="413" t="s">
        <v>1462</v>
      </c>
      <c r="C25" s="413"/>
      <c r="D25" s="413"/>
      <c r="E25" s="413"/>
      <c r="F25" s="413"/>
      <c r="G25" s="413"/>
    </row>
    <row r="26" spans="1:7" ht="25.5" customHeight="1" x14ac:dyDescent="0.2">
      <c r="A26" s="134" t="s">
        <v>366</v>
      </c>
      <c r="B26" s="407" t="s">
        <v>306</v>
      </c>
      <c r="C26" s="407"/>
      <c r="D26" s="407"/>
      <c r="E26" s="407"/>
      <c r="F26" s="407"/>
      <c r="G26" s="407"/>
    </row>
    <row r="27" spans="1:7" ht="13.5" customHeight="1" x14ac:dyDescent="0.2">
      <c r="A27" s="134" t="s">
        <v>366</v>
      </c>
      <c r="B27" s="407" t="s">
        <v>307</v>
      </c>
      <c r="C27" s="407"/>
      <c r="D27" s="407"/>
      <c r="E27" s="407"/>
      <c r="F27" s="407"/>
      <c r="G27" s="407"/>
    </row>
    <row r="28" spans="1:7" ht="13.5" customHeight="1" x14ac:dyDescent="0.2">
      <c r="A28" s="134" t="s">
        <v>366</v>
      </c>
      <c r="B28" s="407" t="s">
        <v>408</v>
      </c>
      <c r="C28" s="407"/>
      <c r="D28" s="407"/>
      <c r="E28" s="407"/>
      <c r="F28" s="407"/>
      <c r="G28" s="407"/>
    </row>
    <row r="29" spans="1:7" ht="12" customHeight="1" x14ac:dyDescent="0.2">
      <c r="A29" s="134"/>
      <c r="B29" s="407" t="s">
        <v>409</v>
      </c>
      <c r="C29" s="407"/>
      <c r="D29" s="407"/>
      <c r="E29" s="407"/>
      <c r="F29" s="407"/>
      <c r="G29" s="407"/>
    </row>
    <row r="30" spans="1:7" ht="18.75" customHeight="1" x14ac:dyDescent="0.2">
      <c r="A30" s="303" t="s">
        <v>1144</v>
      </c>
      <c r="B30" s="407"/>
      <c r="C30" s="407"/>
      <c r="D30" s="407"/>
      <c r="E30" s="407"/>
      <c r="F30" s="407"/>
      <c r="G30" s="407"/>
    </row>
    <row r="31" spans="1:7" ht="26.25" customHeight="1" x14ac:dyDescent="0.2">
      <c r="A31" s="135"/>
      <c r="B31" s="405" t="s">
        <v>1146</v>
      </c>
      <c r="C31" s="406"/>
      <c r="D31" s="406"/>
      <c r="E31" s="406"/>
      <c r="F31" s="406"/>
      <c r="G31" s="406"/>
    </row>
    <row r="32" spans="1:7" ht="15.75" x14ac:dyDescent="0.2">
      <c r="A32" s="304" t="s">
        <v>1145</v>
      </c>
      <c r="B32" s="301"/>
      <c r="C32" s="302"/>
      <c r="D32" s="302"/>
      <c r="E32" s="302"/>
      <c r="F32" s="302"/>
      <c r="G32" s="302"/>
    </row>
    <row r="33" spans="1:10" ht="18.75" customHeight="1" x14ac:dyDescent="0.2">
      <c r="A33" s="304" t="s">
        <v>1147</v>
      </c>
      <c r="B33" s="417" t="s">
        <v>1149</v>
      </c>
      <c r="C33" s="417"/>
      <c r="D33" s="417"/>
      <c r="E33" s="417"/>
      <c r="F33" s="417"/>
      <c r="G33" s="417"/>
    </row>
    <row r="34" spans="1:10" ht="18.75" customHeight="1" x14ac:dyDescent="0.2">
      <c r="A34" s="304" t="s">
        <v>1150</v>
      </c>
      <c r="B34" s="417" t="s">
        <v>1148</v>
      </c>
      <c r="C34" s="417"/>
      <c r="D34" s="417"/>
      <c r="E34" s="417"/>
      <c r="F34" s="417"/>
      <c r="G34" s="417"/>
    </row>
    <row r="35" spans="1:10" ht="18.75" customHeight="1" x14ac:dyDescent="0.2">
      <c r="A35" s="304" t="s">
        <v>1155</v>
      </c>
      <c r="B35" s="417" t="s">
        <v>1151</v>
      </c>
      <c r="C35" s="417"/>
      <c r="D35" s="417"/>
      <c r="E35" s="417"/>
      <c r="F35" s="417"/>
      <c r="G35" s="417"/>
    </row>
    <row r="36" spans="1:10" ht="18.75" customHeight="1" x14ac:dyDescent="0.2">
      <c r="A36" s="304" t="s">
        <v>1157</v>
      </c>
      <c r="B36" s="417" t="s">
        <v>1156</v>
      </c>
      <c r="C36" s="417"/>
      <c r="D36" s="417"/>
      <c r="E36" s="417"/>
      <c r="F36" s="417"/>
      <c r="G36" s="417"/>
    </row>
    <row r="37" spans="1:10" ht="18.75" customHeight="1" x14ac:dyDescent="0.2">
      <c r="A37" s="135"/>
      <c r="B37" s="417" t="s">
        <v>1158</v>
      </c>
      <c r="C37" s="417"/>
      <c r="D37" s="417"/>
      <c r="E37" s="417"/>
      <c r="F37" s="417"/>
      <c r="G37" s="417"/>
    </row>
    <row r="38" spans="1:10" ht="13.5" customHeight="1" x14ac:dyDescent="0.2">
      <c r="A38" s="134"/>
      <c r="B38" s="301"/>
      <c r="C38" s="302"/>
      <c r="D38" s="302"/>
      <c r="E38" s="302"/>
      <c r="F38" s="302"/>
      <c r="G38" s="302"/>
    </row>
    <row r="39" spans="1:10" ht="18.75" customHeight="1" x14ac:dyDescent="0.2">
      <c r="A39" s="134"/>
      <c r="B39" s="132"/>
      <c r="C39" s="132"/>
      <c r="D39" s="132"/>
      <c r="E39" s="132"/>
      <c r="F39" s="132"/>
      <c r="G39" s="132"/>
    </row>
    <row r="40" spans="1:10" hidden="1" x14ac:dyDescent="0.2">
      <c r="B40" s="407"/>
      <c r="C40" s="407"/>
      <c r="D40" s="407"/>
      <c r="E40" s="407"/>
      <c r="F40" s="407"/>
      <c r="G40" s="407"/>
    </row>
    <row r="41" spans="1:10" hidden="1" x14ac:dyDescent="0.2"/>
    <row r="42" spans="1:10" hidden="1" x14ac:dyDescent="0.2"/>
    <row r="43" spans="1:10" hidden="1" x14ac:dyDescent="0.2"/>
    <row r="44" spans="1:10" hidden="1" x14ac:dyDescent="0.2"/>
    <row r="45" spans="1:10" hidden="1" x14ac:dyDescent="0.2"/>
    <row r="46" spans="1:10" hidden="1" x14ac:dyDescent="0.2">
      <c r="J46" s="9" t="s">
        <v>148</v>
      </c>
    </row>
    <row r="47" spans="1:10" ht="10.5" customHeight="1" x14ac:dyDescent="0.2"/>
    <row r="48" spans="1:10" ht="10.5" customHeight="1" x14ac:dyDescent="0.2"/>
    <row r="50" spans="1:14" x14ac:dyDescent="0.2">
      <c r="A50" s="42"/>
      <c r="B50" s="6" t="s">
        <v>23</v>
      </c>
      <c r="C50" s="5" t="s">
        <v>136</v>
      </c>
    </row>
    <row r="51" spans="1:14" s="58" customFormat="1" ht="63.75" x14ac:dyDescent="0.2">
      <c r="A51" s="5"/>
      <c r="B51" s="59" t="s">
        <v>40</v>
      </c>
      <c r="C51" s="59" t="s">
        <v>41</v>
      </c>
      <c r="D51" s="59" t="s">
        <v>294</v>
      </c>
      <c r="E51" s="59" t="s">
        <v>27</v>
      </c>
      <c r="F51" s="59" t="s">
        <v>42</v>
      </c>
      <c r="G51" s="59" t="s">
        <v>124</v>
      </c>
      <c r="H51" s="59"/>
      <c r="I51" s="59"/>
      <c r="J51" s="59" t="s">
        <v>73</v>
      </c>
      <c r="K51" s="59" t="s">
        <v>295</v>
      </c>
      <c r="L51" s="9" t="s">
        <v>292</v>
      </c>
      <c r="M51" s="9" t="s">
        <v>293</v>
      </c>
      <c r="N51" s="9" t="s">
        <v>148</v>
      </c>
    </row>
    <row r="52" spans="1:14" ht="11.25" customHeight="1" x14ac:dyDescent="0.2">
      <c r="A52"/>
      <c r="B52" s="66" t="s">
        <v>1469</v>
      </c>
      <c r="C52" s="67">
        <v>43663</v>
      </c>
      <c r="D52" s="68" t="s">
        <v>158</v>
      </c>
      <c r="E52" s="69" t="s">
        <v>1470</v>
      </c>
      <c r="F52" s="71"/>
      <c r="G52" s="414"/>
      <c r="H52" s="415"/>
      <c r="I52" s="416"/>
      <c r="J52" s="71"/>
      <c r="K52" s="71"/>
      <c r="L52" s="72">
        <v>1</v>
      </c>
      <c r="M52" s="72">
        <v>1</v>
      </c>
      <c r="N52" s="128"/>
    </row>
    <row r="53" spans="1:14" ht="11.25" customHeight="1" x14ac:dyDescent="0.2">
      <c r="A53"/>
      <c r="B53" s="296"/>
      <c r="C53" s="296"/>
      <c r="D53" s="296"/>
      <c r="E53" s="296"/>
      <c r="F53" s="296"/>
      <c r="G53" s="296"/>
      <c r="H53" s="296"/>
      <c r="I53" s="296"/>
      <c r="J53" s="296"/>
      <c r="K53" s="296"/>
      <c r="L53" s="309"/>
      <c r="M53" s="296"/>
      <c r="N53" s="297"/>
    </row>
    <row r="54" spans="1:14" ht="3.75" customHeight="1" x14ac:dyDescent="0.2">
      <c r="A54"/>
      <c r="B54" s="296"/>
      <c r="C54" s="296"/>
      <c r="D54" s="296"/>
      <c r="E54" s="296"/>
      <c r="F54" s="296"/>
      <c r="G54" s="296"/>
      <c r="H54" s="296"/>
      <c r="I54" s="296"/>
      <c r="J54" s="296"/>
      <c r="K54" s="296"/>
      <c r="L54" s="296"/>
      <c r="M54" s="296"/>
      <c r="N54" s="296"/>
    </row>
    <row r="55" spans="1:14" ht="12.75" customHeight="1" x14ac:dyDescent="0.2">
      <c r="A55" s="44" t="s">
        <v>14</v>
      </c>
      <c r="B55" s="43" t="s">
        <v>24</v>
      </c>
      <c r="C55" s="43" t="s">
        <v>11</v>
      </c>
      <c r="D55" s="43" t="s">
        <v>123</v>
      </c>
      <c r="E55" s="43" t="s">
        <v>25</v>
      </c>
      <c r="F55" s="43" t="s">
        <v>1430</v>
      </c>
      <c r="G55" s="43" t="s">
        <v>1431</v>
      </c>
      <c r="H55" s="43" t="s">
        <v>28</v>
      </c>
      <c r="I55" s="43" t="s">
        <v>331</v>
      </c>
      <c r="J55" s="43" t="s">
        <v>1429</v>
      </c>
      <c r="K55" s="43" t="s">
        <v>149</v>
      </c>
      <c r="L55" s="43" t="s">
        <v>152</v>
      </c>
      <c r="M55" s="43" t="e">
        <f>"
Сумма
"&amp;IF(SUM(M56:M75)&gt;0," ("&amp;TEXT(SUMIFS(M56:M75,B56:B75,"&lt;&gt;НДС*"),"# ##0;(# ##0);-")&amp;" руб.)","")</f>
        <v>#VALUE!</v>
      </c>
      <c r="N55" s="43" t="s">
        <v>26</v>
      </c>
    </row>
    <row r="56" spans="1:14" x14ac:dyDescent="0.2">
      <c r="A56" s="4">
        <v>1</v>
      </c>
      <c r="B56" s="73" t="s">
        <v>136</v>
      </c>
      <c r="C56" s="74">
        <v>42239</v>
      </c>
      <c r="D56" s="75" t="s">
        <v>364</v>
      </c>
      <c r="E56" s="76"/>
      <c r="F56" s="77">
        <v>1</v>
      </c>
      <c r="G56" s="77"/>
      <c r="H56" s="77"/>
      <c r="I56" s="77"/>
      <c r="J56" s="77"/>
      <c r="K56" s="77"/>
      <c r="L56" s="79">
        <v>800</v>
      </c>
      <c r="M56" s="7">
        <v>800</v>
      </c>
      <c r="N56" s="47">
        <v>48100030</v>
      </c>
    </row>
    <row r="57" spans="1:14" x14ac:dyDescent="0.2">
      <c r="A57" s="4">
        <v>2</v>
      </c>
      <c r="B57" s="73" t="s">
        <v>310</v>
      </c>
      <c r="C57" s="74" t="s">
        <v>310</v>
      </c>
      <c r="D57" s="75" t="s">
        <v>310</v>
      </c>
      <c r="E57" s="76" t="s">
        <v>310</v>
      </c>
      <c r="F57" s="77" t="s">
        <v>310</v>
      </c>
      <c r="G57" s="77"/>
      <c r="H57" s="77"/>
      <c r="I57" s="77"/>
      <c r="J57" s="77"/>
      <c r="K57" s="77"/>
      <c r="L57" s="79">
        <v>0</v>
      </c>
      <c r="M57" s="7"/>
      <c r="N57" s="47"/>
    </row>
    <row r="58" spans="1:14" ht="10.5" customHeight="1" x14ac:dyDescent="0.2">
      <c r="A58" s="4">
        <v>3</v>
      </c>
      <c r="B58" s="73" t="s">
        <v>310</v>
      </c>
      <c r="C58" s="74" t="s">
        <v>310</v>
      </c>
      <c r="D58" s="75" t="s">
        <v>310</v>
      </c>
      <c r="E58" s="76" t="s">
        <v>310</v>
      </c>
      <c r="F58" s="77" t="s">
        <v>310</v>
      </c>
      <c r="G58" s="77"/>
      <c r="H58" s="77"/>
      <c r="I58" s="77"/>
      <c r="J58" s="77"/>
      <c r="K58" s="77"/>
      <c r="L58" s="79">
        <v>0</v>
      </c>
      <c r="M58" s="7"/>
      <c r="N58" s="47"/>
    </row>
    <row r="59" spans="1:14" ht="13.5" customHeight="1" x14ac:dyDescent="0.2"/>
    <row r="60" spans="1:14" ht="20.25" customHeight="1" x14ac:dyDescent="0.2">
      <c r="B60" s="6" t="s">
        <v>23</v>
      </c>
      <c r="C60" s="5" t="s">
        <v>407</v>
      </c>
    </row>
    <row r="61" spans="1:14" s="58" customFormat="1" ht="63.75" x14ac:dyDescent="0.2">
      <c r="A61" s="5"/>
      <c r="B61" s="59" t="s">
        <v>40</v>
      </c>
      <c r="C61" s="59" t="s">
        <v>41</v>
      </c>
      <c r="D61" s="59" t="s">
        <v>294</v>
      </c>
      <c r="E61" s="59" t="s">
        <v>27</v>
      </c>
      <c r="F61" s="59" t="s">
        <v>42</v>
      </c>
      <c r="G61" s="59" t="s">
        <v>124</v>
      </c>
      <c r="H61" s="59"/>
      <c r="I61" s="59"/>
      <c r="J61" s="59" t="s">
        <v>73</v>
      </c>
      <c r="K61" s="59" t="s">
        <v>295</v>
      </c>
      <c r="L61" s="9" t="s">
        <v>292</v>
      </c>
      <c r="M61" s="9" t="s">
        <v>293</v>
      </c>
      <c r="N61" s="9" t="s">
        <v>148</v>
      </c>
    </row>
    <row r="62" spans="1:14" ht="11.25" customHeight="1" x14ac:dyDescent="0.2">
      <c r="A62"/>
      <c r="B62" s="66" t="s">
        <v>1469</v>
      </c>
      <c r="C62" s="67">
        <v>43663</v>
      </c>
      <c r="D62" s="68" t="s">
        <v>158</v>
      </c>
      <c r="E62" s="69" t="s">
        <v>1470</v>
      </c>
      <c r="F62" s="71"/>
      <c r="G62" s="414"/>
      <c r="H62" s="415"/>
      <c r="I62" s="416"/>
      <c r="J62" s="71"/>
      <c r="K62" s="71"/>
      <c r="L62" s="72">
        <v>1</v>
      </c>
      <c r="M62" s="72">
        <v>1</v>
      </c>
      <c r="N62" s="128"/>
    </row>
    <row r="63" spans="1:14" ht="11.25" customHeight="1" x14ac:dyDescent="0.2">
      <c r="A63"/>
      <c r="B63" s="296"/>
      <c r="C63" s="296"/>
      <c r="D63" s="296"/>
      <c r="E63" s="296"/>
      <c r="F63" s="296"/>
      <c r="G63" s="296"/>
      <c r="H63" s="296"/>
      <c r="I63" s="296"/>
      <c r="J63" s="296"/>
      <c r="K63" s="296"/>
      <c r="L63" s="309"/>
      <c r="M63" s="296"/>
      <c r="N63" s="297"/>
    </row>
    <row r="64" spans="1:14" ht="3.75" customHeight="1" x14ac:dyDescent="0.2">
      <c r="A64"/>
      <c r="B64" s="296"/>
      <c r="C64" s="296"/>
      <c r="D64" s="296"/>
      <c r="E64" s="296"/>
      <c r="F64" s="296"/>
      <c r="G64" s="296"/>
      <c r="H64" s="296"/>
      <c r="I64" s="296"/>
      <c r="J64" s="296"/>
      <c r="K64" s="296"/>
      <c r="L64" s="296"/>
      <c r="M64" s="296"/>
      <c r="N64" s="296"/>
    </row>
    <row r="65" spans="1:14" ht="12.75" customHeight="1" x14ac:dyDescent="0.2">
      <c r="A65" s="44" t="s">
        <v>14</v>
      </c>
      <c r="B65" s="43" t="s">
        <v>24</v>
      </c>
      <c r="C65" s="43" t="s">
        <v>11</v>
      </c>
      <c r="D65" s="43" t="s">
        <v>123</v>
      </c>
      <c r="E65" s="43" t="s">
        <v>25</v>
      </c>
      <c r="F65" s="43" t="s">
        <v>1430</v>
      </c>
      <c r="G65" s="43" t="s">
        <v>1431</v>
      </c>
      <c r="H65" s="43" t="s">
        <v>28</v>
      </c>
      <c r="I65" s="43" t="s">
        <v>331</v>
      </c>
      <c r="J65" s="43" t="s">
        <v>1429</v>
      </c>
      <c r="K65" s="43" t="s">
        <v>149</v>
      </c>
      <c r="L65" s="43" t="s">
        <v>152</v>
      </c>
      <c r="M65" s="43" t="e">
        <f>"
Сумма
"&amp;IF(SUM(M66:M85)&gt;0," ("&amp;TEXT(SUMIFS(M66:M85,B66:B85,"&lt;&gt;НДС*"),"# ##0;(# ##0);-")&amp;" руб.)","")</f>
        <v>#VALUE!</v>
      </c>
      <c r="N65" s="43" t="s">
        <v>26</v>
      </c>
    </row>
    <row r="66" spans="1:14" ht="12.75" customHeight="1" x14ac:dyDescent="0.2">
      <c r="A66" s="4">
        <v>1</v>
      </c>
      <c r="B66" s="73" t="s">
        <v>125</v>
      </c>
      <c r="C66" s="74">
        <v>43627</v>
      </c>
      <c r="D66" s="75" t="s">
        <v>1471</v>
      </c>
      <c r="E66" s="76" t="s">
        <v>1472</v>
      </c>
      <c r="F66" s="77"/>
      <c r="G66" s="75"/>
      <c r="H66" s="75" t="s">
        <v>1473</v>
      </c>
      <c r="I66" s="76"/>
      <c r="J66" s="77"/>
      <c r="K66" s="338"/>
      <c r="L66" s="79">
        <v>700</v>
      </c>
      <c r="M66" s="308">
        <v>1400</v>
      </c>
      <c r="N66" s="47">
        <v>48100030</v>
      </c>
    </row>
    <row r="67" spans="1:14" ht="12.75" customHeight="1" x14ac:dyDescent="0.2">
      <c r="A67" s="4">
        <v>2</v>
      </c>
      <c r="B67" s="73" t="s">
        <v>126</v>
      </c>
      <c r="C67" s="74">
        <v>43627</v>
      </c>
      <c r="D67" s="75" t="s">
        <v>1471</v>
      </c>
      <c r="E67" s="76" t="s">
        <v>1472</v>
      </c>
      <c r="F67" s="77"/>
      <c r="G67" s="75"/>
      <c r="H67" s="75" t="s">
        <v>1473</v>
      </c>
      <c r="I67" s="76"/>
      <c r="J67" s="77"/>
      <c r="K67" s="338"/>
      <c r="L67" s="79">
        <v>500</v>
      </c>
      <c r="M67" s="308">
        <v>1000</v>
      </c>
      <c r="N67" s="47">
        <v>48100030</v>
      </c>
    </row>
    <row r="68" spans="1:14" ht="12.75" customHeight="1" x14ac:dyDescent="0.2">
      <c r="A68" s="4">
        <v>3</v>
      </c>
      <c r="B68" s="73" t="s">
        <v>127</v>
      </c>
      <c r="C68" s="74">
        <v>43626</v>
      </c>
      <c r="D68" s="75" t="s">
        <v>1474</v>
      </c>
      <c r="E68" s="76" t="s">
        <v>1475</v>
      </c>
      <c r="F68" s="77"/>
      <c r="G68" s="75"/>
      <c r="H68" s="75">
        <v>1</v>
      </c>
      <c r="I68" s="76"/>
      <c r="J68" s="77"/>
      <c r="K68" s="338"/>
      <c r="L68" s="340">
        <v>6095</v>
      </c>
      <c r="M68" s="308">
        <v>6095</v>
      </c>
      <c r="N68" s="47">
        <v>48100030</v>
      </c>
    </row>
    <row r="69" spans="1:14" ht="12.75" customHeight="1" x14ac:dyDescent="0.2">
      <c r="A69" s="4">
        <v>4</v>
      </c>
      <c r="B69" s="73" t="s">
        <v>127</v>
      </c>
      <c r="C69" s="74">
        <v>43621</v>
      </c>
      <c r="D69" s="75" t="s">
        <v>1476</v>
      </c>
      <c r="E69" s="76" t="s">
        <v>1477</v>
      </c>
      <c r="F69" s="77"/>
      <c r="G69" s="75"/>
      <c r="H69" s="75">
        <v>1</v>
      </c>
      <c r="I69" s="76"/>
      <c r="J69" s="77"/>
      <c r="K69" s="338"/>
      <c r="L69" s="340">
        <v>8549</v>
      </c>
      <c r="M69" s="308">
        <v>8549</v>
      </c>
      <c r="N69" s="47">
        <v>48100030</v>
      </c>
    </row>
    <row r="70" spans="1:14" ht="12.75" customHeight="1" x14ac:dyDescent="0.2">
      <c r="A70" s="4">
        <v>5</v>
      </c>
      <c r="B70" s="73" t="s">
        <v>129</v>
      </c>
      <c r="C70" s="74">
        <v>43622</v>
      </c>
      <c r="D70" s="75" t="s">
        <v>1478</v>
      </c>
      <c r="E70" s="76" t="s">
        <v>1479</v>
      </c>
      <c r="F70" s="77"/>
      <c r="G70" s="75"/>
      <c r="H70" s="75">
        <v>1</v>
      </c>
      <c r="I70" s="76"/>
      <c r="J70" s="77"/>
      <c r="K70" s="338"/>
      <c r="L70" s="340">
        <v>7900</v>
      </c>
      <c r="M70" s="308">
        <v>7900</v>
      </c>
      <c r="N70" s="47">
        <v>48100030</v>
      </c>
    </row>
    <row r="71" spans="1:14" ht="12.75" customHeight="1" x14ac:dyDescent="0.2">
      <c r="A71" s="4">
        <v>6</v>
      </c>
      <c r="B71" s="73" t="s">
        <v>33</v>
      </c>
      <c r="C71" s="74">
        <v>43634</v>
      </c>
      <c r="D71" s="75" t="s">
        <v>1480</v>
      </c>
      <c r="E71" s="76"/>
      <c r="F71" s="77"/>
      <c r="G71" s="75"/>
      <c r="H71" s="75">
        <v>1</v>
      </c>
      <c r="I71" s="76"/>
      <c r="J71" s="77" t="s">
        <v>1442</v>
      </c>
      <c r="K71" s="338"/>
      <c r="L71" s="340" t="s">
        <v>1481</v>
      </c>
      <c r="M71" s="308">
        <v>7673.83</v>
      </c>
      <c r="N71" s="47">
        <v>48100030</v>
      </c>
    </row>
    <row r="72" spans="1:14" x14ac:dyDescent="0.2">
      <c r="A72" s="4">
        <v>7</v>
      </c>
      <c r="B72" s="73" t="s">
        <v>133</v>
      </c>
      <c r="C72" s="74">
        <v>43634</v>
      </c>
      <c r="D72" s="75" t="s">
        <v>1482</v>
      </c>
      <c r="E72" s="76"/>
      <c r="F72" s="77"/>
      <c r="G72" s="75"/>
      <c r="H72" s="75">
        <v>1</v>
      </c>
      <c r="I72" s="76" t="s">
        <v>331</v>
      </c>
      <c r="J72" s="77" t="s">
        <v>1442</v>
      </c>
      <c r="K72" s="338"/>
      <c r="L72" s="79">
        <v>500</v>
      </c>
      <c r="M72" s="308">
        <v>500</v>
      </c>
      <c r="N72" s="47">
        <v>48100030</v>
      </c>
    </row>
    <row r="73" spans="1:14" s="58" customFormat="1" x14ac:dyDescent="0.2">
      <c r="A73" s="5"/>
      <c r="B73" s="73"/>
      <c r="C73" s="74"/>
      <c r="D73" s="75"/>
      <c r="E73" s="76"/>
      <c r="F73" s="76"/>
      <c r="G73" s="75"/>
      <c r="H73" s="75"/>
      <c r="I73" s="76"/>
      <c r="J73" s="77"/>
      <c r="K73" s="338"/>
      <c r="L73" s="79"/>
      <c r="M73" s="308"/>
      <c r="N73" s="47"/>
    </row>
    <row r="74" spans="1:14" ht="30.75" customHeight="1" x14ac:dyDescent="0.2"/>
    <row r="75" spans="1:14" s="58" customFormat="1" ht="63.75" x14ac:dyDescent="0.2">
      <c r="A75" s="5"/>
      <c r="B75" s="59" t="s">
        <v>40</v>
      </c>
      <c r="C75" s="59" t="s">
        <v>41</v>
      </c>
      <c r="D75" s="59" t="s">
        <v>294</v>
      </c>
      <c r="E75" s="59" t="s">
        <v>27</v>
      </c>
      <c r="F75" s="59" t="s">
        <v>42</v>
      </c>
      <c r="G75" s="59" t="s">
        <v>124</v>
      </c>
      <c r="H75" s="59"/>
      <c r="I75" s="59"/>
      <c r="J75" s="59" t="s">
        <v>73</v>
      </c>
      <c r="K75" s="59" t="s">
        <v>295</v>
      </c>
      <c r="L75" s="9" t="s">
        <v>292</v>
      </c>
      <c r="M75" s="9" t="s">
        <v>293</v>
      </c>
      <c r="N75" s="9" t="s">
        <v>148</v>
      </c>
    </row>
    <row r="76" spans="1:14" s="58" customFormat="1" x14ac:dyDescent="0.2">
      <c r="B76" s="66" t="s">
        <v>311</v>
      </c>
      <c r="C76" s="67">
        <v>42195</v>
      </c>
      <c r="D76" s="68" t="s">
        <v>182</v>
      </c>
      <c r="E76" s="69" t="s">
        <v>312</v>
      </c>
      <c r="F76" s="69">
        <v>50317.39</v>
      </c>
      <c r="G76" s="70" t="s">
        <v>37</v>
      </c>
      <c r="H76" s="71"/>
      <c r="I76" s="71"/>
      <c r="J76" s="71"/>
      <c r="K76" s="71"/>
      <c r="L76" s="72">
        <v>23</v>
      </c>
      <c r="M76" s="72">
        <v>11</v>
      </c>
      <c r="N76" s="71">
        <v>74</v>
      </c>
    </row>
    <row r="77" spans="1:14" s="58" customFormat="1" x14ac:dyDescent="0.2">
      <c r="B77" s="60"/>
    </row>
    <row r="78" spans="1:14" s="58" customFormat="1" x14ac:dyDescent="0.2">
      <c r="B78" s="60"/>
    </row>
    <row r="79" spans="1:14" s="58" customFormat="1" ht="12.75" customHeight="1" x14ac:dyDescent="0.2">
      <c r="A79" s="61" t="s">
        <v>14</v>
      </c>
      <c r="B79" s="62" t="s">
        <v>24</v>
      </c>
      <c r="C79" s="62" t="s">
        <v>11</v>
      </c>
      <c r="D79" s="62" t="s">
        <v>123</v>
      </c>
      <c r="E79" s="62" t="s">
        <v>25</v>
      </c>
      <c r="F79" s="43" t="s">
        <v>1430</v>
      </c>
      <c r="G79" s="43" t="s">
        <v>1431</v>
      </c>
      <c r="H79" s="43" t="s">
        <v>28</v>
      </c>
      <c r="I79" s="43" t="s">
        <v>331</v>
      </c>
      <c r="J79" s="43" t="s">
        <v>1429</v>
      </c>
      <c r="K79" s="43" t="s">
        <v>149</v>
      </c>
      <c r="L79" s="43" t="s">
        <v>152</v>
      </c>
      <c r="M79" s="43" t="e">
        <f>"
Сумма
"&amp;IF(SUM(M80:M96)&gt;0," ("&amp;TEXT(SUMIFS(M80:M96,B80:B99,"&lt;&gt;НДС*"),"# ##0;(# ##0);-")&amp;" руб.)","")</f>
        <v>#VALUE!</v>
      </c>
      <c r="N79" s="43" t="s">
        <v>26</v>
      </c>
    </row>
    <row r="80" spans="1:14" s="58" customFormat="1" x14ac:dyDescent="0.2">
      <c r="A80" s="63">
        <v>1</v>
      </c>
      <c r="B80" s="73" t="s">
        <v>145</v>
      </c>
      <c r="C80" s="74">
        <v>41421</v>
      </c>
      <c r="D80" s="75" t="s">
        <v>313</v>
      </c>
      <c r="E80" s="76" t="s">
        <v>314</v>
      </c>
      <c r="F80" s="77"/>
      <c r="G80" s="75"/>
      <c r="H80" s="75" t="s">
        <v>1473</v>
      </c>
      <c r="I80" s="76"/>
      <c r="J80" s="77"/>
      <c r="K80" s="338"/>
      <c r="L80" s="79">
        <v>700</v>
      </c>
      <c r="M80" s="308">
        <v>1400</v>
      </c>
      <c r="N80" s="47">
        <v>48100030</v>
      </c>
    </row>
    <row r="81" spans="1:14" s="58" customFormat="1" x14ac:dyDescent="0.2">
      <c r="A81" s="63">
        <v>2</v>
      </c>
      <c r="B81" s="73" t="s">
        <v>126</v>
      </c>
      <c r="C81" s="74">
        <v>41421</v>
      </c>
      <c r="D81" s="75" t="s">
        <v>313</v>
      </c>
      <c r="E81" s="76" t="s">
        <v>314</v>
      </c>
      <c r="F81" s="77"/>
      <c r="G81" s="75"/>
      <c r="H81" s="75" t="s">
        <v>1473</v>
      </c>
      <c r="I81" s="76"/>
      <c r="J81" s="77"/>
      <c r="K81" s="338"/>
      <c r="L81" s="79">
        <v>500</v>
      </c>
      <c r="M81" s="308">
        <v>1000</v>
      </c>
      <c r="N81" s="47">
        <v>48100030</v>
      </c>
    </row>
    <row r="82" spans="1:14" s="58" customFormat="1" x14ac:dyDescent="0.2">
      <c r="A82" s="63">
        <v>3</v>
      </c>
      <c r="B82" s="73" t="s">
        <v>127</v>
      </c>
      <c r="C82" s="74">
        <v>42157</v>
      </c>
      <c r="D82" s="75" t="s">
        <v>315</v>
      </c>
      <c r="E82" s="76" t="s">
        <v>316</v>
      </c>
      <c r="F82" s="77"/>
      <c r="G82" s="75"/>
      <c r="H82" s="75">
        <v>1</v>
      </c>
      <c r="I82" s="76"/>
      <c r="J82" s="77"/>
      <c r="K82" s="338"/>
      <c r="L82" s="340">
        <v>6095</v>
      </c>
      <c r="M82" s="308">
        <v>6095</v>
      </c>
      <c r="N82" s="47">
        <v>48100030</v>
      </c>
    </row>
    <row r="83" spans="1:14" s="58" customFormat="1" x14ac:dyDescent="0.2">
      <c r="A83" s="63">
        <v>4</v>
      </c>
      <c r="B83" s="73" t="s">
        <v>128</v>
      </c>
      <c r="C83" s="74">
        <v>42192</v>
      </c>
      <c r="D83" s="75" t="s">
        <v>317</v>
      </c>
      <c r="E83" s="76" t="s">
        <v>318</v>
      </c>
      <c r="F83" s="77"/>
      <c r="G83" s="75"/>
      <c r="H83" s="75">
        <v>1</v>
      </c>
      <c r="I83" s="76"/>
      <c r="J83" s="77"/>
      <c r="K83" s="338"/>
      <c r="L83" s="340">
        <v>8549</v>
      </c>
      <c r="M83" s="308">
        <v>8549</v>
      </c>
      <c r="N83" s="47">
        <v>48100030</v>
      </c>
    </row>
    <row r="84" spans="1:14" s="58" customFormat="1" x14ac:dyDescent="0.2">
      <c r="A84" s="63">
        <v>5</v>
      </c>
      <c r="B84" s="73" t="s">
        <v>128</v>
      </c>
      <c r="C84" s="74">
        <v>42194</v>
      </c>
      <c r="D84" s="75" t="s">
        <v>319</v>
      </c>
      <c r="E84" s="76" t="s">
        <v>320</v>
      </c>
      <c r="F84" s="77"/>
      <c r="G84" s="75"/>
      <c r="H84" s="75">
        <v>1</v>
      </c>
      <c r="I84" s="76"/>
      <c r="J84" s="77"/>
      <c r="K84" s="338"/>
      <c r="L84" s="340">
        <v>7900</v>
      </c>
      <c r="M84" s="308">
        <v>7900</v>
      </c>
      <c r="N84" s="47">
        <v>48100030</v>
      </c>
    </row>
    <row r="85" spans="1:14" s="58" customFormat="1" x14ac:dyDescent="0.2">
      <c r="A85" s="63">
        <v>6</v>
      </c>
      <c r="B85" s="73" t="s">
        <v>129</v>
      </c>
      <c r="C85" s="74">
        <v>42192</v>
      </c>
      <c r="D85" s="75" t="s">
        <v>321</v>
      </c>
      <c r="E85" s="76" t="s">
        <v>322</v>
      </c>
      <c r="F85" s="77"/>
      <c r="G85" s="75"/>
      <c r="H85" s="75">
        <v>1</v>
      </c>
      <c r="I85" s="76"/>
      <c r="J85" s="77" t="s">
        <v>1442</v>
      </c>
      <c r="K85" s="338"/>
      <c r="L85" s="340" t="s">
        <v>1481</v>
      </c>
      <c r="M85" s="308">
        <v>7673.83</v>
      </c>
      <c r="N85" s="47">
        <v>48100030</v>
      </c>
    </row>
    <row r="86" spans="1:14" s="58" customFormat="1" x14ac:dyDescent="0.2">
      <c r="A86" s="63">
        <v>7</v>
      </c>
      <c r="B86" s="73" t="s">
        <v>129</v>
      </c>
      <c r="C86" s="74">
        <v>42194</v>
      </c>
      <c r="D86" s="75" t="s">
        <v>323</v>
      </c>
      <c r="E86" s="76" t="s">
        <v>324</v>
      </c>
      <c r="F86" s="77"/>
      <c r="G86" s="75"/>
      <c r="H86" s="75">
        <v>1</v>
      </c>
      <c r="I86" s="76" t="s">
        <v>331</v>
      </c>
      <c r="J86" s="77" t="s">
        <v>1442</v>
      </c>
      <c r="K86" s="338"/>
      <c r="L86" s="79">
        <v>500</v>
      </c>
      <c r="M86" s="308">
        <v>500</v>
      </c>
      <c r="N86" s="47">
        <v>48100030</v>
      </c>
    </row>
    <row r="87" spans="1:14" s="58" customFormat="1" x14ac:dyDescent="0.2">
      <c r="A87" s="63">
        <v>8</v>
      </c>
      <c r="B87" s="73" t="s">
        <v>132</v>
      </c>
      <c r="C87" s="74" t="s">
        <v>325</v>
      </c>
      <c r="D87" s="75" t="s">
        <v>326</v>
      </c>
      <c r="E87" s="76" t="s">
        <v>310</v>
      </c>
      <c r="F87" s="76"/>
      <c r="G87" s="75"/>
      <c r="H87" s="75"/>
      <c r="I87" s="76"/>
      <c r="J87" s="77"/>
      <c r="K87" s="338"/>
      <c r="L87" s="79"/>
      <c r="M87" s="308"/>
      <c r="N87" s="47"/>
    </row>
    <row r="88" spans="1:14" x14ac:dyDescent="0.2">
      <c r="A88" s="63">
        <v>9</v>
      </c>
      <c r="B88" s="73" t="s">
        <v>134</v>
      </c>
      <c r="C88" s="74">
        <v>42164</v>
      </c>
      <c r="D88" s="75" t="s">
        <v>327</v>
      </c>
      <c r="E88" s="76" t="s">
        <v>310</v>
      </c>
      <c r="F88" s="76"/>
      <c r="G88" s="75"/>
      <c r="H88" s="75"/>
      <c r="I88" s="75"/>
      <c r="J88" s="77"/>
      <c r="K88" s="78"/>
      <c r="L88" s="79">
        <v>4060.45</v>
      </c>
      <c r="M88" s="64">
        <v>4060.45</v>
      </c>
      <c r="N88" s="65">
        <v>48100000</v>
      </c>
    </row>
    <row r="89" spans="1:14" x14ac:dyDescent="0.2">
      <c r="A89" s="58"/>
      <c r="B89" s="58"/>
      <c r="C89" s="58"/>
      <c r="D89" s="58"/>
      <c r="E89" s="58"/>
      <c r="F89" s="58"/>
      <c r="G89" s="58"/>
    </row>
    <row r="91" spans="1:14" x14ac:dyDescent="0.2">
      <c r="B91" s="6" t="s">
        <v>23</v>
      </c>
      <c r="C91" s="5" t="s">
        <v>1463</v>
      </c>
    </row>
    <row r="92" spans="1:14" s="58" customFormat="1" ht="63.75" x14ac:dyDescent="0.2">
      <c r="A92" s="5"/>
      <c r="B92" s="59" t="s">
        <v>40</v>
      </c>
      <c r="C92" s="59" t="s">
        <v>41</v>
      </c>
      <c r="D92" s="59" t="s">
        <v>294</v>
      </c>
      <c r="E92" s="59" t="s">
        <v>27</v>
      </c>
      <c r="F92" s="59" t="s">
        <v>42</v>
      </c>
      <c r="G92" s="59" t="s">
        <v>124</v>
      </c>
      <c r="H92" s="59"/>
      <c r="I92" s="59"/>
      <c r="J92" s="59" t="s">
        <v>73</v>
      </c>
      <c r="K92" s="59" t="s">
        <v>295</v>
      </c>
      <c r="L92" s="9" t="s">
        <v>292</v>
      </c>
      <c r="M92" s="9" t="s">
        <v>293</v>
      </c>
      <c r="N92" s="9" t="s">
        <v>148</v>
      </c>
    </row>
    <row r="93" spans="1:14" s="58" customFormat="1" x14ac:dyDescent="0.2">
      <c r="B93" s="66" t="s">
        <v>311</v>
      </c>
      <c r="C93" s="67">
        <v>42195</v>
      </c>
      <c r="D93" s="68" t="s">
        <v>182</v>
      </c>
      <c r="E93" s="69" t="s">
        <v>312</v>
      </c>
      <c r="F93" s="69">
        <v>50317.39</v>
      </c>
      <c r="G93" s="70" t="s">
        <v>37</v>
      </c>
      <c r="H93" s="71"/>
      <c r="I93" s="71"/>
      <c r="J93" s="71"/>
      <c r="K93" s="71"/>
      <c r="L93" s="72">
        <v>23</v>
      </c>
      <c r="M93" s="72">
        <v>11</v>
      </c>
      <c r="N93" s="71">
        <v>74</v>
      </c>
    </row>
    <row r="94" spans="1:14" s="58" customFormat="1" x14ac:dyDescent="0.2">
      <c r="B94" s="60"/>
    </row>
    <row r="95" spans="1:14" s="58" customFormat="1" x14ac:dyDescent="0.2">
      <c r="B95" s="60"/>
    </row>
    <row r="96" spans="1:14" s="58" customFormat="1" ht="12.75" customHeight="1" x14ac:dyDescent="0.2">
      <c r="A96" s="61" t="s">
        <v>14</v>
      </c>
      <c r="B96" s="62" t="s">
        <v>24</v>
      </c>
      <c r="C96" s="62" t="s">
        <v>11</v>
      </c>
      <c r="D96" s="62" t="s">
        <v>123</v>
      </c>
      <c r="E96" s="62" t="s">
        <v>25</v>
      </c>
      <c r="F96" s="43" t="s">
        <v>1430</v>
      </c>
      <c r="G96" s="43" t="s">
        <v>1431</v>
      </c>
      <c r="H96" s="43" t="s">
        <v>28</v>
      </c>
      <c r="I96" s="43" t="s">
        <v>331</v>
      </c>
      <c r="J96" s="43" t="s">
        <v>1429</v>
      </c>
      <c r="K96" s="43" t="s">
        <v>149</v>
      </c>
      <c r="L96" s="43" t="s">
        <v>152</v>
      </c>
      <c r="M96" s="43" t="str">
        <f>"
Сумма
"&amp;IF(SUM(M97:M116)&gt;0," ("&amp;TEXT(SUMIFS(M97:M116,B97:B116,"&lt;&gt;НДС*"),"# ##0;(# ##0);-")&amp;" руб.)","")</f>
        <v xml:space="preserve">
Сумма
 (15 885 руб.)</v>
      </c>
      <c r="N96" s="43" t="s">
        <v>26</v>
      </c>
    </row>
    <row r="97" spans="1:14" x14ac:dyDescent="0.2">
      <c r="A97" s="4">
        <v>1</v>
      </c>
      <c r="B97" s="73" t="s">
        <v>125</v>
      </c>
      <c r="C97" s="74">
        <v>42307</v>
      </c>
      <c r="D97" s="75" t="s">
        <v>402</v>
      </c>
      <c r="E97" s="76" t="s">
        <v>1464</v>
      </c>
      <c r="F97" s="77">
        <v>126000000</v>
      </c>
      <c r="G97" s="77">
        <v>1000</v>
      </c>
      <c r="H97" s="77">
        <v>3</v>
      </c>
      <c r="I97" s="77"/>
      <c r="J97" s="77"/>
      <c r="K97" s="77"/>
      <c r="L97" s="79">
        <v>700</v>
      </c>
      <c r="M97" s="7">
        <v>2100</v>
      </c>
      <c r="N97" s="47">
        <v>48100000</v>
      </c>
    </row>
    <row r="98" spans="1:14" x14ac:dyDescent="0.2">
      <c r="A98" s="4">
        <v>2</v>
      </c>
      <c r="B98" s="73" t="s">
        <v>126</v>
      </c>
      <c r="C98" s="74">
        <v>42307</v>
      </c>
      <c r="D98" s="75" t="s">
        <v>402</v>
      </c>
      <c r="E98" s="76" t="s">
        <v>1465</v>
      </c>
      <c r="F98" s="77"/>
      <c r="G98" s="77"/>
      <c r="H98" s="77">
        <v>3</v>
      </c>
      <c r="I98" s="77"/>
      <c r="J98" s="77"/>
      <c r="K98" s="77"/>
      <c r="L98" s="79">
        <v>400</v>
      </c>
      <c r="M98" s="7">
        <v>1200</v>
      </c>
      <c r="N98" s="47">
        <v>48100020</v>
      </c>
    </row>
    <row r="99" spans="1:14" x14ac:dyDescent="0.2">
      <c r="A99" s="4">
        <v>3</v>
      </c>
      <c r="B99" s="73" t="s">
        <v>127</v>
      </c>
      <c r="C99" s="74">
        <v>42307</v>
      </c>
      <c r="D99" s="75" t="s">
        <v>403</v>
      </c>
      <c r="E99" s="76" t="s">
        <v>1466</v>
      </c>
      <c r="F99" s="77"/>
      <c r="G99" s="77"/>
      <c r="H99" s="77">
        <v>1</v>
      </c>
      <c r="I99" s="77"/>
      <c r="J99" s="77"/>
      <c r="K99" s="77"/>
      <c r="L99" s="79">
        <v>3635.45</v>
      </c>
      <c r="M99" s="7">
        <v>3635.45</v>
      </c>
      <c r="N99" s="47">
        <v>48100000</v>
      </c>
    </row>
    <row r="100" spans="1:14" x14ac:dyDescent="0.2">
      <c r="A100" s="4">
        <v>4</v>
      </c>
      <c r="B100" s="73" t="s">
        <v>129</v>
      </c>
      <c r="C100" s="74">
        <v>42310</v>
      </c>
      <c r="D100" s="75" t="s">
        <v>404</v>
      </c>
      <c r="E100" s="76" t="s">
        <v>1467</v>
      </c>
      <c r="F100" s="77"/>
      <c r="G100" s="77"/>
      <c r="H100" s="77">
        <v>1</v>
      </c>
      <c r="I100" s="77"/>
      <c r="J100" s="77"/>
      <c r="K100" s="77"/>
      <c r="L100" s="79">
        <v>8100</v>
      </c>
      <c r="M100" s="7">
        <v>8100</v>
      </c>
      <c r="N100" s="47">
        <v>48100000</v>
      </c>
    </row>
    <row r="101" spans="1:14" x14ac:dyDescent="0.2">
      <c r="A101" s="4">
        <v>5</v>
      </c>
      <c r="B101" s="73" t="s">
        <v>132</v>
      </c>
      <c r="C101" s="74" t="s">
        <v>405</v>
      </c>
      <c r="D101" s="75" t="s">
        <v>406</v>
      </c>
      <c r="E101" s="339" t="s">
        <v>1468</v>
      </c>
      <c r="F101" s="77"/>
      <c r="G101" s="77"/>
      <c r="H101" s="77">
        <v>1</v>
      </c>
      <c r="I101" s="77"/>
      <c r="J101" s="77"/>
      <c r="K101" s="77"/>
      <c r="L101" s="79">
        <v>850</v>
      </c>
      <c r="M101" s="7">
        <v>850</v>
      </c>
      <c r="N101" s="47">
        <v>48100000</v>
      </c>
    </row>
    <row r="102" spans="1:14" x14ac:dyDescent="0.2">
      <c r="A102" s="4">
        <v>6</v>
      </c>
      <c r="B102" s="73"/>
      <c r="C102" s="74"/>
      <c r="D102" s="75"/>
      <c r="E102" s="76"/>
      <c r="F102" s="77"/>
      <c r="G102" s="77"/>
      <c r="H102" s="77"/>
      <c r="I102" s="77"/>
      <c r="J102" s="77"/>
      <c r="K102" s="77"/>
      <c r="L102" s="79"/>
      <c r="M102" s="7"/>
      <c r="N102" s="47"/>
    </row>
    <row r="103" spans="1:14" x14ac:dyDescent="0.2">
      <c r="A103" s="4">
        <v>7</v>
      </c>
      <c r="B103" s="73" t="s">
        <v>310</v>
      </c>
      <c r="C103" s="74" t="s">
        <v>310</v>
      </c>
      <c r="D103" s="75" t="s">
        <v>310</v>
      </c>
      <c r="E103" s="76" t="s">
        <v>310</v>
      </c>
      <c r="F103" s="77"/>
      <c r="G103" s="77"/>
      <c r="H103" s="77" t="s">
        <v>310</v>
      </c>
      <c r="I103" s="77"/>
      <c r="J103" s="77"/>
      <c r="K103" s="77"/>
      <c r="L103" s="79">
        <v>0</v>
      </c>
      <c r="M103" s="7">
        <v>0</v>
      </c>
      <c r="N103" s="47" t="s">
        <v>310</v>
      </c>
    </row>
  </sheetData>
  <sheetProtection password="EF17" sheet="1" objects="1" scenarios="1" formatCells="0" formatColumns="0" formatRows="0"/>
  <protectedRanges>
    <protectedRange sqref="L76:N76 B76:I76 L93:N93 B93:I93" name="Диапазон1_2_1"/>
    <protectedRange sqref="C80" name="Диапазон2_1"/>
    <protectedRange sqref="D80" name="Диапазон2_2"/>
    <protectedRange sqref="E80" name="Диапазон2_4"/>
    <protectedRange sqref="B83:B88" name="Диапазон2"/>
    <protectedRange sqref="C81:C88" name="Диапазон2_1_1"/>
    <protectedRange sqref="D81:D88" name="Диапазон2_2_1"/>
    <protectedRange sqref="E81:E88" name="Диапазон2_4_1"/>
    <protectedRange sqref="J88" name="Диапазон2_5_1"/>
    <protectedRange sqref="L88" name="Диапазон2_6_1"/>
    <protectedRange sqref="L103:N103 L97:N101 B103:E103 G103:H103 B97:E101 G97:H101" name="Диапазон2_7"/>
    <protectedRange sqref="M73:N74 B68:L74 C66:D66 C67:L67 B66:B67 G66:M66 F87:N87 G80:M80 M67:M72 F81:M86" name="Диапазон2_8"/>
    <protectedRange sqref="B62:N62 B52:N52" name="Диапазон1_3"/>
  </protectedRanges>
  <customSheetViews>
    <customSheetView guid="{0047C449-E5B1-4E19-878D-F58E6F8A4677}">
      <selection activeCell="B9" sqref="B9:F9"/>
      <pageMargins left="0.7" right="0.7" top="0.75" bottom="0.75" header="0.3" footer="0.3"/>
      <pageSetup paperSize="9" orientation="portrait" r:id="rId1"/>
    </customSheetView>
  </customSheetViews>
  <mergeCells count="38">
    <mergeCell ref="B23:G23"/>
    <mergeCell ref="B25:G25"/>
    <mergeCell ref="G62:I62"/>
    <mergeCell ref="G52:I52"/>
    <mergeCell ref="B33:G33"/>
    <mergeCell ref="B34:G34"/>
    <mergeCell ref="B35:G35"/>
    <mergeCell ref="B36:G36"/>
    <mergeCell ref="B37:G37"/>
    <mergeCell ref="B3:G3"/>
    <mergeCell ref="B6:G6"/>
    <mergeCell ref="B10:G10"/>
    <mergeCell ref="A1:G1"/>
    <mergeCell ref="A2:G2"/>
    <mergeCell ref="B4:G4"/>
    <mergeCell ref="B5:G5"/>
    <mergeCell ref="B9:G9"/>
    <mergeCell ref="B11:G11"/>
    <mergeCell ref="B8:G8"/>
    <mergeCell ref="B12:G12"/>
    <mergeCell ref="B13:G13"/>
    <mergeCell ref="B14:G14"/>
    <mergeCell ref="B15:G15"/>
    <mergeCell ref="B16:G16"/>
    <mergeCell ref="B31:G31"/>
    <mergeCell ref="B40:G40"/>
    <mergeCell ref="B17:G17"/>
    <mergeCell ref="B18:G18"/>
    <mergeCell ref="B19:G19"/>
    <mergeCell ref="B20:G20"/>
    <mergeCell ref="B21:G21"/>
    <mergeCell ref="B22:G22"/>
    <mergeCell ref="B24:G24"/>
    <mergeCell ref="B26:G26"/>
    <mergeCell ref="B27:G27"/>
    <mergeCell ref="B30:G30"/>
    <mergeCell ref="B28:G28"/>
    <mergeCell ref="B29:G29"/>
  </mergeCells>
  <dataValidations count="9">
    <dataValidation type="list" allowBlank="1" showErrorMessage="1" errorTitle="Выберие из списка" error="Произвольный ввод запрещен" promptTitle="ФИО" prompt="Выберие свою фамилию и инициалы из списка" sqref="D62 D52" xr:uid="{00000000-0002-0000-0000-000000000000}">
      <formula1>EmployeesList</formula1>
    </dataValidation>
    <dataValidation type="list" allowBlank="1" showErrorMessage="1" errorTitle="Ошибка" error="Доступен только выбор из списка." sqref="I66:I74 I80:I87" xr:uid="{00000000-0002-0000-0000-000001000000}">
      <formula1>Income</formula1>
    </dataValidation>
    <dataValidation type="list" allowBlank="1" showErrorMessage="1" errorTitle="Ошибка" error="Доступен только выбор из списка." promptTitle="Количество/признак" prompt="Если выбраны &quot;Суточные&quot;, укажите количество дней командировки._x000a_Если в запросе стоит признак ПРИБЫЛЬ - &quot;Прибыль&quot;._x000a_Если гостиница или билеты оплачены самостоятельно - &quot;Наличные&quot;._x000a_Если нет документов, подтверждающих расходы - &quot;Нет подтв.&quot;" sqref="J66:J74 J80:J87" xr:uid="{00000000-0002-0000-0000-000002000000}">
      <formula1>PaymentType</formula1>
    </dataValidation>
    <dataValidation allowBlank="1" sqref="J62:N62 D66:D74 E67:F74 G66:H74 F81:F87 G80:H87 J52:N52" xr:uid="{00000000-0002-0000-0000-000003000000}"/>
    <dataValidation allowBlank="1" showErrorMessage="1" promptTitle="Цена за единицу" prompt="Укажите сумму затрат на единицу товара (услуги). Если выбран вид расходов &quot;Суточные&quot;, данная графа заполняется автоматически." sqref="L66:L74 L80:L87" xr:uid="{00000000-0002-0000-0000-000004000000}"/>
    <dataValidation allowBlank="1" promptTitle="Дата документа" prompt="Укажите дату платежного документа или дату приказа (для суточных)" sqref="C66:C74" xr:uid="{00000000-0002-0000-0000-000005000000}"/>
    <dataValidation allowBlank="1" promptTitle="Регистрационный номер" prompt="Введите регистрационный номер авансового отчета. Его можно посмотреть в файле регистрации на общем диске по адресу &quot;K:\Авансовые отчеты&quot;" sqref="B62 B52" xr:uid="{00000000-0002-0000-0000-000006000000}"/>
    <dataValidation allowBlank="1" promptTitle="Получено, руб" prompt="Введите полученную сумму (в рублях)" sqref="F62 F52" xr:uid="{00000000-0002-0000-0000-000007000000}"/>
    <dataValidation allowBlank="1" promptTitle="Дата авансового отчета" prompt="Введите дату регистрации авансового отчета. Её можно посмотреть в файле регистрации на общем диске по адресу &quot;K:\Авансовые отчеты&quot;" sqref="C62 C52" xr:uid="{00000000-0002-0000-0000-000008000000}"/>
  </dataValidations>
  <hyperlinks>
    <hyperlink ref="B14:F14" r:id="rId2" display="Курс иностранной валюты указывается на дату составления авансового отчета - необходимо, если расходы были понесены в валюте, аванс которой не выдавался. Курс должен соответствовать данным ЦБ РФ на день заполнения авансового отчета (http://www.cbr.ru/curre" xr:uid="{00000000-0004-0000-0000-000000000000}"/>
    <hyperlink ref="B13:F13" r:id="rId3" display="\\mows0001.Global.BDFGroup.net\BDFdata$\ExchangeFiles\Авансовые отчеты" xr:uid="{00000000-0004-0000-0000-000001000000}"/>
    <hyperlink ref="J46" r:id="rId4" xr:uid="{00000000-0004-0000-0000-000002000000}"/>
    <hyperlink ref="B19:G19" r:id="rId5" display="\\mows0001.Global.BDFGroup.net\BDFdata$\ExchangeFiles\Авансовые отчеты" xr:uid="{00000000-0004-0000-0000-000003000000}"/>
    <hyperlink ref="B13:G13" r:id="rId6" display="\\mows0001.Global.BDFGroup.net\BDFdata$\ExchangeFiles\Авансовые отчеты" xr:uid="{00000000-0004-0000-0000-000004000000}"/>
    <hyperlink ref="J61" r:id="rId7" xr:uid="{00000000-0004-0000-0000-000005000000}"/>
    <hyperlink ref="N61" r:id="rId8" xr:uid="{00000000-0004-0000-0000-000006000000}"/>
    <hyperlink ref="J75" r:id="rId9" xr:uid="{00000000-0004-0000-0000-000007000000}"/>
    <hyperlink ref="N75" r:id="rId10" xr:uid="{00000000-0004-0000-0000-000008000000}"/>
    <hyperlink ref="J92" r:id="rId11" xr:uid="{00000000-0004-0000-0000-000009000000}"/>
    <hyperlink ref="N92" r:id="rId12" xr:uid="{00000000-0004-0000-0000-00000A000000}"/>
    <hyperlink ref="J51" r:id="rId13" xr:uid="{00000000-0004-0000-0000-00000B000000}"/>
    <hyperlink ref="N51" r:id="rId14" xr:uid="{00000000-0004-0000-0000-00000C000000}"/>
  </hyperlinks>
  <pageMargins left="0.7" right="0.7" top="0.75" bottom="0.75" header="0.3" footer="0.3"/>
  <pageSetup paperSize="9" scale="63" fitToHeight="0" orientation="portrait" r:id="rId15"/>
  <drawing r:id="rId16"/>
  <legacyDrawing r:id="rId1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18" name="Button 8">
              <controlPr defaultSize="0" print="0" autoFill="0" autoPict="0" macro="[0]!CreateNewReport">
                <anchor moveWithCells="1" siz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6</xdr:col>
                    <xdr:colOff>1733550</xdr:colOff>
                    <xdr:row>38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errorTitle="Выберите из списка" error="Произвольный ввод запрещен" xr:uid="{00000000-0002-0000-0000-000009000000}">
          <x14:formula1>
            <xm:f>'C:\Users\TyukhanovaL\OneDrive - BDF Group\Desktop\[Копия ar_new 938.xlsm]Исходные данные'!#REF!</xm:f>
          </x14:formula1>
          <xm:sqref>G62 G52</xm:sqref>
        </x14:dataValidation>
        <x14:dataValidation type="list" allowBlank="1" showErrorMessage="1" errorTitle="Выберите из списка" error="Если в списке нет необходимого вида расходов, выберите &quot;Прочие расходы&quot; и в графе &quot;Комментарии&quot; напечатайте содержание расходов." promptTitle="Вид расходов" prompt="Выберите из списка" xr:uid="{00000000-0002-0000-0000-00000A000000}">
          <x14:formula1>
            <xm:f>'C:\Users\TyukhanovaL\OneDrive - BDF Group\Desktop\[Копия ar_new 938.xlsm]Исходные данные'!#REF!</xm:f>
          </x14:formula1>
          <xm:sqref>B66:B74</xm:sqref>
        </x14:dataValidation>
        <x14:dataValidation type="list" allowBlank="1" promptTitle="Назначение аванса" prompt="Выберите из списка и допишите детали" xr:uid="{00000000-0002-0000-0000-00000B000000}">
          <x14:formula1>
            <xm:f>'C:\Users\TyukhanovaL\OneDrive - BDF Group\Desktop\[Копия ar_new 938.xlsm]Исходные данные'!#REF!</xm:f>
          </x14:formula1>
          <xm:sqref>E62 E52</xm:sqref>
        </x14:dataValidation>
        <x14:dataValidation type="list" allowBlank="1" promptTitle="Валюта (если не RUB)" prompt="Выберите валюту, в которой были осуществлены расходы, если затраты производились не в рублях. Если в списке отсутствует нужная валюта - напечатайте ее наименование вручную" xr:uid="{00000000-0002-0000-0000-00000C000000}">
          <x14:formula1>
            <xm:f>'C:\Users\TyukhanovaL\OneDrive - BDF Group\Desktop\[Копия ar_new 938.xlsm]Исходные данные'!#REF!</xm:f>
          </x14:formula1>
          <xm:sqref>K66:K74 K80:K87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pageSetUpPr fitToPage="1"/>
  </sheetPr>
  <dimension ref="A1:Q76"/>
  <sheetViews>
    <sheetView zoomScaleNormal="100" zoomScaleSheetLayoutView="100" workbookViewId="0">
      <selection activeCell="B2" sqref="B2"/>
    </sheetView>
  </sheetViews>
  <sheetFormatPr defaultColWidth="0" defaultRowHeight="12.75" zeroHeight="1" x14ac:dyDescent="0.2"/>
  <cols>
    <col min="1" max="1" width="4.28515625" customWidth="1"/>
    <col min="2" max="2" width="20.5703125" customWidth="1"/>
    <col min="3" max="3" width="10.7109375" customWidth="1"/>
    <col min="4" max="4" width="18.42578125" bestFit="1" customWidth="1"/>
    <col min="5" max="5" width="33.28515625" customWidth="1"/>
    <col min="6" max="6" width="11.7109375" customWidth="1"/>
    <col min="7" max="7" width="9.42578125" customWidth="1"/>
    <col min="8" max="8" width="11.140625" customWidth="1"/>
    <col min="9" max="9" width="9.42578125" customWidth="1"/>
    <col min="10" max="10" width="14.85546875" bestFit="1" customWidth="1"/>
    <col min="11" max="13" width="13.42578125" customWidth="1"/>
    <col min="14" max="14" width="14.85546875" customWidth="1"/>
    <col min="15" max="15" width="14.5703125" customWidth="1"/>
    <col min="16" max="16" width="18.42578125" hidden="1" customWidth="1"/>
    <col min="17" max="17" width="11.28515625" hidden="1" customWidth="1"/>
    <col min="18" max="16384" width="9.28515625" hidden="1"/>
  </cols>
  <sheetData>
    <row r="1" spans="1:16" s="42" customFormat="1" ht="52.9" customHeight="1" x14ac:dyDescent="0.2">
      <c r="A1" s="305"/>
      <c r="B1" s="9" t="s">
        <v>40</v>
      </c>
      <c r="C1" s="9" t="s">
        <v>41</v>
      </c>
      <c r="D1" s="9" t="s">
        <v>294</v>
      </c>
      <c r="E1" s="9" t="s">
        <v>27</v>
      </c>
      <c r="F1" s="9" t="s">
        <v>42</v>
      </c>
      <c r="G1" s="418" t="s">
        <v>124</v>
      </c>
      <c r="H1" s="418"/>
      <c r="I1" s="418"/>
      <c r="J1" s="9" t="s">
        <v>73</v>
      </c>
      <c r="K1" s="9" t="s">
        <v>295</v>
      </c>
      <c r="L1" s="9" t="s">
        <v>292</v>
      </c>
      <c r="M1" s="9" t="s">
        <v>293</v>
      </c>
      <c r="N1" s="9" t="s">
        <v>148</v>
      </c>
      <c r="O1" s="335"/>
    </row>
    <row r="2" spans="1:16" x14ac:dyDescent="0.2">
      <c r="A2" s="306"/>
      <c r="B2" s="374"/>
      <c r="C2" s="67">
        <v>44102</v>
      </c>
      <c r="D2" s="68"/>
      <c r="E2" s="375"/>
      <c r="F2" s="71"/>
      <c r="G2" s="414"/>
      <c r="H2" s="415"/>
      <c r="I2" s="416"/>
      <c r="J2" s="71"/>
      <c r="K2" s="71"/>
      <c r="L2" s="376"/>
      <c r="M2" s="376"/>
      <c r="N2" s="128"/>
      <c r="O2" s="336"/>
    </row>
    <row r="3" spans="1:16" x14ac:dyDescent="0.2">
      <c r="A3" s="299"/>
      <c r="B3" s="296"/>
      <c r="C3" s="296"/>
      <c r="D3" s="296"/>
      <c r="E3" s="296"/>
      <c r="F3" s="296"/>
      <c r="G3" s="296"/>
      <c r="H3" s="296"/>
      <c r="I3" s="296"/>
      <c r="J3" s="296"/>
      <c r="K3" s="296"/>
      <c r="L3" s="309"/>
      <c r="M3" s="296"/>
      <c r="N3" s="297"/>
      <c r="O3" s="336"/>
    </row>
    <row r="4" spans="1:16" x14ac:dyDescent="0.2">
      <c r="A4" s="299"/>
      <c r="B4" s="296"/>
      <c r="C4" s="296"/>
      <c r="D4" s="296"/>
      <c r="E4" s="296"/>
      <c r="F4" s="296"/>
      <c r="G4" s="296"/>
      <c r="H4" s="296"/>
      <c r="I4" s="296"/>
      <c r="J4" s="296"/>
      <c r="K4" s="296"/>
      <c r="L4" s="296"/>
      <c r="M4" s="296"/>
      <c r="N4" s="296"/>
      <c r="O4" s="336"/>
    </row>
    <row r="5" spans="1:16" s="42" customFormat="1" ht="38.25" x14ac:dyDescent="0.2">
      <c r="A5" s="44" t="s">
        <v>14</v>
      </c>
      <c r="B5" s="43" t="s">
        <v>24</v>
      </c>
      <c r="C5" s="43" t="s">
        <v>11</v>
      </c>
      <c r="D5" s="43" t="s">
        <v>123</v>
      </c>
      <c r="E5" s="43" t="s">
        <v>25</v>
      </c>
      <c r="F5" s="43" t="s">
        <v>1430</v>
      </c>
      <c r="G5" s="43" t="s">
        <v>1431</v>
      </c>
      <c r="H5" s="43" t="s">
        <v>28</v>
      </c>
      <c r="I5" s="43" t="s">
        <v>331</v>
      </c>
      <c r="J5" s="43" t="s">
        <v>1429</v>
      </c>
      <c r="K5" s="43" t="s">
        <v>149</v>
      </c>
      <c r="L5" s="43" t="s">
        <v>152</v>
      </c>
      <c r="M5" s="43" t="str">
        <f>"
Сумма
"&amp;IF(SUM(M6:M25)&gt;0," ("&amp;TEXT(SUMIFS(M6:M25,B6:B25,"&lt;&gt;НДС*"),"# ##0;(# ##0);-")&amp;" руб.)","")</f>
        <v xml:space="preserve">
Сумма
</v>
      </c>
      <c r="N5" s="43" t="s">
        <v>26</v>
      </c>
      <c r="O5" s="335"/>
      <c r="P5" s="298"/>
    </row>
    <row r="6" spans="1:16" x14ac:dyDescent="0.2">
      <c r="A6" s="4">
        <v>1</v>
      </c>
      <c r="B6" s="73"/>
      <c r="C6" s="74"/>
      <c r="D6" s="75"/>
      <c r="E6" s="76"/>
      <c r="F6" s="77"/>
      <c r="G6" s="387"/>
      <c r="H6" s="75"/>
      <c r="I6" s="76"/>
      <c r="J6" s="77"/>
      <c r="K6" s="387"/>
      <c r="L6" s="79"/>
      <c r="M6" s="308"/>
      <c r="N6" s="47"/>
      <c r="O6" s="337"/>
      <c r="P6" s="299"/>
    </row>
    <row r="7" spans="1:16" x14ac:dyDescent="0.2">
      <c r="A7" s="4">
        <v>2</v>
      </c>
      <c r="B7" s="73"/>
      <c r="C7" s="74"/>
      <c r="D7" s="75"/>
      <c r="E7" s="76"/>
      <c r="F7" s="77"/>
      <c r="G7" s="387"/>
      <c r="H7" s="75"/>
      <c r="I7" s="76"/>
      <c r="J7" s="77"/>
      <c r="K7" s="387"/>
      <c r="L7" s="79"/>
      <c r="M7" s="308"/>
      <c r="N7" s="47"/>
      <c r="O7" s="337"/>
      <c r="P7" s="299"/>
    </row>
    <row r="8" spans="1:16" x14ac:dyDescent="0.2">
      <c r="A8" s="4">
        <v>3</v>
      </c>
      <c r="B8" s="73"/>
      <c r="C8" s="74"/>
      <c r="D8" s="75"/>
      <c r="E8" s="76"/>
      <c r="F8" s="77"/>
      <c r="G8" s="387"/>
      <c r="H8" s="75"/>
      <c r="I8" s="76"/>
      <c r="J8" s="77"/>
      <c r="K8" s="387"/>
      <c r="L8" s="79"/>
      <c r="M8" s="308"/>
      <c r="N8" s="47"/>
      <c r="O8" s="337"/>
      <c r="P8" s="299"/>
    </row>
    <row r="9" spans="1:16" x14ac:dyDescent="0.2">
      <c r="A9" s="4">
        <v>4</v>
      </c>
      <c r="B9" s="73"/>
      <c r="C9" s="74"/>
      <c r="D9" s="75"/>
      <c r="E9" s="76"/>
      <c r="F9" s="77"/>
      <c r="G9" s="387"/>
      <c r="H9" s="75"/>
      <c r="I9" s="76"/>
      <c r="J9" s="77"/>
      <c r="K9" s="387"/>
      <c r="L9" s="79"/>
      <c r="M9" s="308"/>
      <c r="N9" s="47"/>
      <c r="O9" s="337"/>
      <c r="P9" s="299"/>
    </row>
    <row r="10" spans="1:16" x14ac:dyDescent="0.2">
      <c r="A10" s="4">
        <v>5</v>
      </c>
      <c r="B10" s="73"/>
      <c r="C10" s="74"/>
      <c r="D10" s="75"/>
      <c r="E10" s="76"/>
      <c r="F10" s="77"/>
      <c r="G10" s="387"/>
      <c r="H10" s="75"/>
      <c r="I10" s="76"/>
      <c r="J10" s="77"/>
      <c r="K10" s="387"/>
      <c r="L10" s="79"/>
      <c r="M10" s="308"/>
      <c r="N10" s="47"/>
      <c r="O10" s="337"/>
      <c r="P10" s="299"/>
    </row>
    <row r="11" spans="1:16" x14ac:dyDescent="0.2">
      <c r="A11" s="4">
        <v>6</v>
      </c>
      <c r="B11" s="73"/>
      <c r="C11" s="74"/>
      <c r="D11" s="75"/>
      <c r="E11" s="76"/>
      <c r="F11" s="77"/>
      <c r="G11" s="387"/>
      <c r="H11" s="75"/>
      <c r="I11" s="76"/>
      <c r="J11" s="77"/>
      <c r="K11" s="387"/>
      <c r="L11" s="79"/>
      <c r="M11" s="308"/>
      <c r="N11" s="47"/>
      <c r="O11" s="337"/>
      <c r="P11" s="299"/>
    </row>
    <row r="12" spans="1:16" ht="14.25" customHeight="1" x14ac:dyDescent="0.2">
      <c r="A12" s="4">
        <v>7</v>
      </c>
      <c r="B12" s="73"/>
      <c r="C12" s="74"/>
      <c r="D12" s="75"/>
      <c r="E12" s="76"/>
      <c r="F12" s="77"/>
      <c r="G12" s="387"/>
      <c r="H12" s="75"/>
      <c r="I12" s="76"/>
      <c r="J12" s="77"/>
      <c r="K12" s="387"/>
      <c r="L12" s="79"/>
      <c r="M12" s="308"/>
      <c r="N12" s="47"/>
      <c r="O12" s="337"/>
      <c r="P12" s="299"/>
    </row>
    <row r="13" spans="1:16" x14ac:dyDescent="0.2">
      <c r="A13" s="4">
        <v>8</v>
      </c>
      <c r="B13" s="73"/>
      <c r="C13" s="74"/>
      <c r="D13" s="75"/>
      <c r="E13" s="76"/>
      <c r="F13" s="77"/>
      <c r="G13" s="387"/>
      <c r="H13" s="75"/>
      <c r="I13" s="76"/>
      <c r="J13" s="77"/>
      <c r="K13" s="387"/>
      <c r="L13" s="79"/>
      <c r="M13" s="308"/>
      <c r="N13" s="47"/>
      <c r="O13" s="337"/>
      <c r="P13" s="299"/>
    </row>
    <row r="14" spans="1:16" x14ac:dyDescent="0.2">
      <c r="A14" s="4">
        <v>9</v>
      </c>
      <c r="B14" s="73"/>
      <c r="C14" s="74"/>
      <c r="D14" s="75"/>
      <c r="E14" s="76"/>
      <c r="F14" s="77"/>
      <c r="G14" s="387"/>
      <c r="H14" s="75"/>
      <c r="I14" s="76"/>
      <c r="J14" s="77"/>
      <c r="K14" s="387"/>
      <c r="L14" s="79"/>
      <c r="M14" s="308"/>
      <c r="N14" s="47"/>
      <c r="O14" s="337"/>
      <c r="P14" s="299"/>
    </row>
    <row r="15" spans="1:16" ht="14.25" customHeight="1" x14ac:dyDescent="0.2">
      <c r="A15" s="4">
        <v>10</v>
      </c>
      <c r="B15" s="73"/>
      <c r="C15" s="74"/>
      <c r="D15" s="75"/>
      <c r="E15" s="76"/>
      <c r="F15" s="77"/>
      <c r="G15" s="387"/>
      <c r="H15" s="75"/>
      <c r="I15" s="76"/>
      <c r="J15" s="77"/>
      <c r="K15" s="387"/>
      <c r="L15" s="79"/>
      <c r="M15" s="308"/>
      <c r="N15" s="47"/>
      <c r="O15" s="337"/>
      <c r="P15" s="299"/>
    </row>
    <row r="16" spans="1:16" x14ac:dyDescent="0.2">
      <c r="A16" s="4">
        <v>11</v>
      </c>
      <c r="B16" s="73"/>
      <c r="C16" s="74"/>
      <c r="D16" s="75"/>
      <c r="E16" s="76"/>
      <c r="F16" s="77"/>
      <c r="G16" s="387"/>
      <c r="H16" s="75"/>
      <c r="I16" s="76"/>
      <c r="J16" s="77"/>
      <c r="K16" s="387"/>
      <c r="L16" s="79"/>
      <c r="M16" s="308"/>
      <c r="N16" s="47"/>
      <c r="O16" s="337"/>
      <c r="P16" s="299"/>
    </row>
    <row r="17" spans="1:16" x14ac:dyDescent="0.2">
      <c r="A17" s="4">
        <v>12</v>
      </c>
      <c r="B17" s="73"/>
      <c r="C17" s="74"/>
      <c r="D17" s="75"/>
      <c r="E17" s="76"/>
      <c r="F17" s="77"/>
      <c r="G17" s="387"/>
      <c r="H17" s="75"/>
      <c r="I17" s="76"/>
      <c r="J17" s="77"/>
      <c r="K17" s="387"/>
      <c r="L17" s="79"/>
      <c r="M17" s="308"/>
      <c r="N17" s="47"/>
      <c r="O17" s="337"/>
      <c r="P17" s="299"/>
    </row>
    <row r="18" spans="1:16" x14ac:dyDescent="0.2">
      <c r="A18" s="4">
        <v>13</v>
      </c>
      <c r="B18" s="73"/>
      <c r="C18" s="74"/>
      <c r="D18" s="75"/>
      <c r="E18" s="76"/>
      <c r="F18" s="77"/>
      <c r="G18" s="387"/>
      <c r="H18" s="75"/>
      <c r="I18" s="76"/>
      <c r="J18" s="77"/>
      <c r="K18" s="387"/>
      <c r="L18" s="79"/>
      <c r="M18" s="308"/>
      <c r="N18" s="47"/>
      <c r="O18" s="337"/>
      <c r="P18" s="299"/>
    </row>
    <row r="19" spans="1:16" x14ac:dyDescent="0.2">
      <c r="A19" s="4">
        <v>14</v>
      </c>
      <c r="B19" s="73"/>
      <c r="C19" s="74"/>
      <c r="D19" s="75"/>
      <c r="E19" s="76"/>
      <c r="F19" s="77"/>
      <c r="G19" s="387"/>
      <c r="H19" s="75"/>
      <c r="I19" s="76"/>
      <c r="J19" s="77"/>
      <c r="K19" s="387"/>
      <c r="L19" s="79"/>
      <c r="M19" s="308"/>
      <c r="N19" s="47"/>
      <c r="O19" s="337"/>
      <c r="P19" s="299"/>
    </row>
    <row r="20" spans="1:16" x14ac:dyDescent="0.2">
      <c r="A20" s="4">
        <v>15</v>
      </c>
      <c r="B20" s="73"/>
      <c r="C20" s="74"/>
      <c r="D20" s="75"/>
      <c r="E20" s="76"/>
      <c r="F20" s="77"/>
      <c r="G20" s="387"/>
      <c r="H20" s="75"/>
      <c r="I20" s="76"/>
      <c r="J20" s="77"/>
      <c r="K20" s="387"/>
      <c r="L20" s="79"/>
      <c r="M20" s="308"/>
      <c r="N20" s="47"/>
      <c r="O20" s="337"/>
      <c r="P20" s="299"/>
    </row>
    <row r="21" spans="1:16" x14ac:dyDescent="0.2">
      <c r="A21" s="4">
        <v>16</v>
      </c>
      <c r="B21" s="73"/>
      <c r="C21" s="74"/>
      <c r="D21" s="75"/>
      <c r="E21" s="76"/>
      <c r="F21" s="77"/>
      <c r="G21" s="387"/>
      <c r="H21" s="75"/>
      <c r="I21" s="76"/>
      <c r="J21" s="77"/>
      <c r="K21" s="387"/>
      <c r="L21" s="79"/>
      <c r="M21" s="308"/>
      <c r="N21" s="47"/>
      <c r="O21" s="337"/>
      <c r="P21" s="299"/>
    </row>
    <row r="22" spans="1:16" x14ac:dyDescent="0.2">
      <c r="A22" s="4">
        <v>17</v>
      </c>
      <c r="B22" s="73"/>
      <c r="C22" s="74"/>
      <c r="D22" s="75"/>
      <c r="E22" s="76"/>
      <c r="F22" s="77"/>
      <c r="G22" s="387"/>
      <c r="H22" s="75"/>
      <c r="I22" s="76"/>
      <c r="J22" s="77"/>
      <c r="K22" s="387"/>
      <c r="L22" s="79"/>
      <c r="M22" s="308"/>
      <c r="N22" s="47"/>
      <c r="O22" s="337"/>
      <c r="P22" s="299"/>
    </row>
    <row r="23" spans="1:16" x14ac:dyDescent="0.2">
      <c r="A23" s="4">
        <v>18</v>
      </c>
      <c r="B23" s="73"/>
      <c r="C23" s="74"/>
      <c r="D23" s="75"/>
      <c r="E23" s="76"/>
      <c r="F23" s="77"/>
      <c r="G23" s="387"/>
      <c r="H23" s="75"/>
      <c r="I23" s="76"/>
      <c r="J23" s="77"/>
      <c r="K23" s="387"/>
      <c r="L23" s="79"/>
      <c r="M23" s="308"/>
      <c r="N23" s="47"/>
      <c r="O23" s="337"/>
      <c r="P23" s="299"/>
    </row>
    <row r="24" spans="1:16" x14ac:dyDescent="0.2">
      <c r="A24" s="4">
        <v>19</v>
      </c>
      <c r="B24" s="73"/>
      <c r="C24" s="74"/>
      <c r="D24" s="75"/>
      <c r="E24" s="76"/>
      <c r="F24" s="77"/>
      <c r="G24" s="387"/>
      <c r="H24" s="75"/>
      <c r="I24" s="76"/>
      <c r="J24" s="77"/>
      <c r="K24" s="387"/>
      <c r="L24" s="79"/>
      <c r="M24" s="308"/>
      <c r="N24" s="47"/>
      <c r="O24" s="337"/>
      <c r="P24" s="299"/>
    </row>
    <row r="25" spans="1:16" x14ac:dyDescent="0.2">
      <c r="A25" s="4">
        <v>20</v>
      </c>
      <c r="B25" s="73"/>
      <c r="C25" s="74"/>
      <c r="D25" s="75"/>
      <c r="E25" s="76"/>
      <c r="F25" s="77"/>
      <c r="G25" s="387"/>
      <c r="H25" s="75"/>
      <c r="I25" s="76"/>
      <c r="J25" s="77"/>
      <c r="K25" s="387"/>
      <c r="L25" s="79"/>
      <c r="M25" s="308"/>
      <c r="N25" s="47"/>
      <c r="O25" s="337"/>
      <c r="P25" s="299"/>
    </row>
    <row r="26" spans="1:16" hidden="1" x14ac:dyDescent="0.2">
      <c r="A26" s="284"/>
      <c r="B26" s="285" t="s">
        <v>125</v>
      </c>
      <c r="C26" s="284"/>
      <c r="D26" s="284"/>
      <c r="E26" s="284"/>
      <c r="F26" s="284"/>
      <c r="G26" s="284"/>
      <c r="H26" s="284"/>
      <c r="I26" s="284"/>
      <c r="J26" s="284"/>
      <c r="K26" s="284"/>
      <c r="L26" s="284"/>
      <c r="M26" s="284"/>
      <c r="N26" s="284"/>
    </row>
    <row r="27" spans="1:16" hidden="1" x14ac:dyDescent="0.2">
      <c r="A27" s="284"/>
      <c r="B27" s="285" t="s">
        <v>145</v>
      </c>
      <c r="C27" s="284"/>
      <c r="D27" s="284"/>
      <c r="E27" s="284"/>
      <c r="F27" s="284"/>
      <c r="G27" s="284"/>
      <c r="H27" s="284"/>
      <c r="I27" s="284"/>
      <c r="J27" s="284"/>
      <c r="K27" s="284"/>
      <c r="L27" s="284"/>
      <c r="M27" s="284"/>
      <c r="N27" s="284"/>
    </row>
    <row r="28" spans="1:16" hidden="1" x14ac:dyDescent="0.2">
      <c r="A28" s="284"/>
      <c r="B28" s="285" t="s">
        <v>127</v>
      </c>
      <c r="C28" s="284"/>
      <c r="D28" s="284"/>
      <c r="E28" s="284"/>
      <c r="F28" s="284"/>
      <c r="G28" s="284"/>
      <c r="H28" s="284"/>
      <c r="I28" s="284"/>
      <c r="J28" s="284"/>
      <c r="K28" s="284"/>
      <c r="L28" s="284"/>
      <c r="M28" s="284"/>
      <c r="N28" s="284"/>
    </row>
    <row r="29" spans="1:16" hidden="1" x14ac:dyDescent="0.2">
      <c r="A29" s="284"/>
      <c r="B29" s="285" t="s">
        <v>128</v>
      </c>
      <c r="C29" s="284"/>
      <c r="D29" s="284"/>
      <c r="E29" s="284"/>
      <c r="F29" s="284"/>
      <c r="G29" s="284"/>
      <c r="H29" s="284"/>
      <c r="I29" s="284"/>
      <c r="J29" s="284"/>
      <c r="K29" s="284"/>
      <c r="L29" s="284"/>
      <c r="M29" s="284"/>
      <c r="N29" s="284"/>
    </row>
    <row r="30" spans="1:16" hidden="1" x14ac:dyDescent="0.2">
      <c r="A30" s="284"/>
      <c r="B30" s="285" t="s">
        <v>129</v>
      </c>
      <c r="C30" s="284"/>
      <c r="D30" s="284"/>
      <c r="E30" s="284"/>
      <c r="F30" s="284"/>
      <c r="G30" s="284"/>
      <c r="H30" s="284"/>
      <c r="I30" s="284"/>
      <c r="J30" s="284"/>
      <c r="K30" s="284"/>
      <c r="L30" s="284"/>
      <c r="M30" s="284"/>
      <c r="N30" s="284"/>
    </row>
    <row r="31" spans="1:16" hidden="1" x14ac:dyDescent="0.2">
      <c r="A31" s="284"/>
      <c r="B31" s="285" t="s">
        <v>491</v>
      </c>
      <c r="C31" s="284"/>
      <c r="D31" s="284"/>
      <c r="E31" s="284"/>
      <c r="F31" s="284"/>
      <c r="G31" s="284"/>
      <c r="H31" s="284"/>
      <c r="I31" s="284"/>
      <c r="J31" s="284"/>
      <c r="K31" s="284"/>
      <c r="L31" s="284"/>
      <c r="M31" s="284"/>
      <c r="N31" s="284"/>
    </row>
    <row r="32" spans="1:16" hidden="1" x14ac:dyDescent="0.2">
      <c r="A32" s="284"/>
      <c r="B32" s="285" t="s">
        <v>492</v>
      </c>
      <c r="C32" s="284"/>
      <c r="D32" s="284"/>
      <c r="E32" s="284"/>
      <c r="F32" s="284"/>
      <c r="G32" s="284"/>
      <c r="H32" s="284"/>
      <c r="I32" s="284"/>
      <c r="J32" s="284"/>
      <c r="K32" s="284"/>
      <c r="L32" s="284"/>
      <c r="M32" s="284"/>
      <c r="N32" s="284"/>
    </row>
    <row r="33" spans="1:14" hidden="1" x14ac:dyDescent="0.2">
      <c r="A33" s="284"/>
      <c r="B33" s="285" t="s">
        <v>132</v>
      </c>
      <c r="C33" s="284"/>
      <c r="D33" s="284"/>
      <c r="E33" s="284"/>
      <c r="F33" s="284"/>
      <c r="G33" s="284"/>
      <c r="H33" s="284"/>
      <c r="I33" s="284"/>
      <c r="J33" s="284"/>
      <c r="K33" s="284"/>
      <c r="L33" s="284"/>
      <c r="M33" s="284"/>
      <c r="N33" s="284"/>
    </row>
    <row r="34" spans="1:14" hidden="1" x14ac:dyDescent="0.2">
      <c r="A34" s="284"/>
      <c r="B34" s="285" t="s">
        <v>133</v>
      </c>
      <c r="C34" s="284"/>
      <c r="D34" s="284"/>
      <c r="E34" s="284"/>
      <c r="F34" s="284"/>
      <c r="G34" s="284"/>
      <c r="H34" s="284"/>
      <c r="I34" s="284"/>
      <c r="J34" s="284"/>
      <c r="K34" s="284"/>
      <c r="L34" s="284"/>
      <c r="M34" s="284"/>
      <c r="N34" s="284"/>
    </row>
    <row r="35" spans="1:14" hidden="1" x14ac:dyDescent="0.2">
      <c r="A35" s="284"/>
      <c r="B35" s="285" t="s">
        <v>134</v>
      </c>
      <c r="C35" s="284"/>
      <c r="D35" s="284"/>
      <c r="E35" s="284"/>
      <c r="F35" s="284"/>
      <c r="G35" s="284"/>
      <c r="H35" s="284"/>
      <c r="I35" s="284"/>
      <c r="J35" s="284"/>
      <c r="K35" s="284"/>
      <c r="L35" s="284"/>
      <c r="M35" s="284"/>
      <c r="N35" s="284"/>
    </row>
    <row r="36" spans="1:14" hidden="1" x14ac:dyDescent="0.2">
      <c r="A36" s="284"/>
      <c r="B36" s="286" t="s">
        <v>126</v>
      </c>
      <c r="C36" s="284"/>
      <c r="D36" s="284"/>
      <c r="E36" s="284"/>
      <c r="F36" s="284"/>
      <c r="G36" s="284"/>
      <c r="H36" s="284"/>
      <c r="I36" s="284"/>
      <c r="J36" s="284"/>
      <c r="K36" s="284"/>
      <c r="L36" s="284"/>
      <c r="M36" s="284"/>
      <c r="N36" s="284"/>
    </row>
    <row r="37" spans="1:14" hidden="1" x14ac:dyDescent="0.2">
      <c r="A37" s="284"/>
      <c r="B37" s="287" t="s">
        <v>130</v>
      </c>
      <c r="C37" s="284"/>
      <c r="D37" s="284"/>
      <c r="E37" s="284"/>
      <c r="F37" s="284"/>
      <c r="G37" s="284"/>
      <c r="H37" s="284"/>
      <c r="I37" s="284"/>
      <c r="J37" s="284"/>
      <c r="K37" s="284"/>
      <c r="L37" s="284"/>
      <c r="M37" s="284"/>
      <c r="N37" s="284"/>
    </row>
    <row r="38" spans="1:14" hidden="1" x14ac:dyDescent="0.2">
      <c r="A38" s="284"/>
      <c r="B38" s="288" t="s">
        <v>131</v>
      </c>
      <c r="C38" s="284"/>
      <c r="D38" s="284"/>
      <c r="E38" s="284"/>
      <c r="F38" s="284"/>
      <c r="G38" s="284"/>
      <c r="H38" s="284"/>
      <c r="I38" s="284"/>
      <c r="J38" s="284"/>
      <c r="K38" s="284"/>
      <c r="L38" s="284"/>
      <c r="M38" s="284"/>
      <c r="N38" s="284"/>
    </row>
    <row r="39" spans="1:14" hidden="1" x14ac:dyDescent="0.2">
      <c r="A39" s="284"/>
      <c r="B39" s="288" t="s">
        <v>309</v>
      </c>
      <c r="C39" s="284"/>
      <c r="D39" s="284"/>
      <c r="E39" s="284"/>
      <c r="F39" s="284"/>
      <c r="G39" s="284"/>
      <c r="H39" s="284"/>
      <c r="I39" s="284"/>
      <c r="J39" s="284"/>
      <c r="K39" s="284"/>
      <c r="L39" s="284"/>
      <c r="M39" s="284"/>
      <c r="N39" s="284"/>
    </row>
    <row r="40" spans="1:14" hidden="1" x14ac:dyDescent="0.2">
      <c r="A40" s="284"/>
      <c r="B40" s="288" t="s">
        <v>136</v>
      </c>
      <c r="C40" s="284"/>
      <c r="D40" s="284"/>
      <c r="E40" s="284"/>
      <c r="F40" s="284"/>
      <c r="G40" s="284"/>
      <c r="H40" s="284"/>
      <c r="I40" s="284"/>
      <c r="J40" s="284"/>
      <c r="K40" s="284"/>
      <c r="L40" s="284"/>
      <c r="M40" s="284"/>
      <c r="N40" s="284"/>
    </row>
    <row r="41" spans="1:14" hidden="1" x14ac:dyDescent="0.2">
      <c r="A41" s="284"/>
      <c r="B41" s="288" t="s">
        <v>490</v>
      </c>
      <c r="C41" s="284"/>
      <c r="D41" s="284"/>
      <c r="E41" s="284"/>
      <c r="F41" s="284"/>
      <c r="G41" s="284"/>
      <c r="H41" s="284"/>
      <c r="I41" s="284"/>
      <c r="J41" s="284"/>
      <c r="K41" s="284"/>
      <c r="L41" s="284"/>
      <c r="M41" s="284"/>
      <c r="N41" s="284"/>
    </row>
    <row r="42" spans="1:14" hidden="1" x14ac:dyDescent="0.2">
      <c r="A42" s="284"/>
      <c r="B42" s="288" t="s">
        <v>489</v>
      </c>
      <c r="C42" s="284"/>
      <c r="D42" s="284"/>
      <c r="E42" s="284"/>
      <c r="F42" s="284"/>
      <c r="G42" s="284"/>
      <c r="H42" s="284"/>
      <c r="I42" s="284"/>
      <c r="J42" s="284"/>
      <c r="K42" s="284"/>
      <c r="L42" s="284"/>
      <c r="M42" s="284"/>
      <c r="N42" s="284"/>
    </row>
    <row r="43" spans="1:14" hidden="1" x14ac:dyDescent="0.2">
      <c r="A43" s="284"/>
      <c r="B43" s="289" t="s">
        <v>137</v>
      </c>
      <c r="C43" s="284"/>
      <c r="D43" s="284"/>
      <c r="E43" s="284"/>
      <c r="F43" s="284"/>
      <c r="G43" s="284"/>
      <c r="H43" s="284"/>
      <c r="I43" s="284"/>
      <c r="J43" s="284"/>
      <c r="K43" s="284"/>
      <c r="L43" s="284"/>
      <c r="M43" s="284"/>
      <c r="N43" s="284"/>
    </row>
    <row r="44" spans="1:14" hidden="1" x14ac:dyDescent="0.2">
      <c r="A44" s="284"/>
      <c r="B44" s="289" t="s">
        <v>138</v>
      </c>
      <c r="C44" s="284"/>
      <c r="D44" s="284"/>
      <c r="E44" s="284"/>
      <c r="F44" s="284"/>
      <c r="G44" s="284"/>
      <c r="H44" s="284"/>
      <c r="I44" s="284"/>
      <c r="J44" s="284"/>
      <c r="K44" s="284"/>
      <c r="L44" s="284"/>
      <c r="M44" s="284"/>
      <c r="N44" s="284"/>
    </row>
    <row r="45" spans="1:14" hidden="1" x14ac:dyDescent="0.2">
      <c r="A45" s="284"/>
      <c r="B45" s="289" t="s">
        <v>139</v>
      </c>
      <c r="C45" s="284"/>
      <c r="D45" s="284"/>
      <c r="E45" s="284"/>
      <c r="F45" s="284"/>
      <c r="G45" s="284"/>
      <c r="H45" s="284"/>
      <c r="I45" s="284"/>
      <c r="J45" s="284"/>
      <c r="K45" s="284"/>
      <c r="L45" s="284"/>
      <c r="M45" s="284"/>
      <c r="N45" s="284"/>
    </row>
    <row r="46" spans="1:14" hidden="1" x14ac:dyDescent="0.2">
      <c r="A46" s="284"/>
      <c r="B46" s="290" t="s">
        <v>135</v>
      </c>
      <c r="C46" s="284"/>
      <c r="D46" s="284"/>
      <c r="E46" s="284"/>
      <c r="F46" s="284"/>
      <c r="G46" s="284"/>
      <c r="H46" s="284"/>
      <c r="I46" s="284"/>
      <c r="J46" s="284"/>
      <c r="K46" s="284"/>
      <c r="L46" s="284"/>
      <c r="M46" s="284"/>
      <c r="N46" s="284"/>
    </row>
    <row r="47" spans="1:14" hidden="1" x14ac:dyDescent="0.2">
      <c r="A47" s="284"/>
      <c r="B47" s="290" t="s">
        <v>140</v>
      </c>
      <c r="C47" s="284"/>
      <c r="D47" s="284"/>
      <c r="E47" s="284"/>
      <c r="F47" s="284"/>
      <c r="G47" s="284"/>
      <c r="H47" s="284"/>
      <c r="I47" s="284"/>
      <c r="J47" s="284"/>
      <c r="K47" s="284"/>
      <c r="L47" s="284"/>
      <c r="M47" s="284"/>
      <c r="N47" s="284"/>
    </row>
    <row r="48" spans="1:14" hidden="1" x14ac:dyDescent="0.2">
      <c r="A48" s="284"/>
      <c r="B48" s="290" t="s">
        <v>141</v>
      </c>
      <c r="C48" s="284"/>
      <c r="D48" s="284"/>
      <c r="E48" s="284"/>
      <c r="F48" s="284"/>
      <c r="G48" s="284"/>
      <c r="H48" s="284"/>
      <c r="I48" s="284"/>
      <c r="J48" s="284"/>
      <c r="K48" s="284"/>
      <c r="L48" s="284"/>
      <c r="M48" s="284"/>
      <c r="N48" s="284"/>
    </row>
    <row r="49" spans="1:14" hidden="1" x14ac:dyDescent="0.2">
      <c r="A49" s="284"/>
      <c r="B49" s="290" t="s">
        <v>142</v>
      </c>
      <c r="C49" s="284"/>
      <c r="D49" s="284"/>
      <c r="E49" s="284"/>
      <c r="F49" s="284"/>
      <c r="G49" s="284"/>
      <c r="H49" s="284"/>
      <c r="I49" s="284"/>
      <c r="J49" s="284"/>
      <c r="K49" s="284"/>
      <c r="L49" s="284"/>
      <c r="M49" s="284"/>
      <c r="N49" s="284"/>
    </row>
    <row r="50" spans="1:14" hidden="1" x14ac:dyDescent="0.2">
      <c r="A50" s="284"/>
      <c r="B50" s="290" t="s">
        <v>143</v>
      </c>
      <c r="C50" s="284"/>
      <c r="D50" s="284"/>
      <c r="E50" s="284"/>
      <c r="F50" s="284"/>
      <c r="G50" s="284"/>
      <c r="H50" s="284"/>
      <c r="I50" s="284"/>
      <c r="J50" s="284"/>
      <c r="K50" s="284"/>
      <c r="L50" s="284"/>
      <c r="M50" s="284"/>
      <c r="N50" s="284"/>
    </row>
    <row r="51" spans="1:14" hidden="1" x14ac:dyDescent="0.2">
      <c r="A51" s="284"/>
      <c r="B51" s="290" t="s">
        <v>144</v>
      </c>
      <c r="C51" s="284"/>
      <c r="D51" s="284"/>
      <c r="E51" s="284"/>
      <c r="F51" s="284"/>
      <c r="G51" s="284"/>
      <c r="H51" s="284"/>
      <c r="I51" s="284"/>
      <c r="J51" s="284"/>
      <c r="K51" s="284"/>
      <c r="L51" s="284"/>
      <c r="M51" s="284"/>
      <c r="N51" s="284"/>
    </row>
    <row r="52" spans="1:14" hidden="1" x14ac:dyDescent="0.2">
      <c r="A52" s="284"/>
      <c r="B52" s="290" t="s">
        <v>413</v>
      </c>
      <c r="C52" s="284"/>
      <c r="D52" s="284"/>
      <c r="E52" s="284"/>
      <c r="F52" s="284"/>
      <c r="G52" s="284"/>
      <c r="H52" s="284"/>
      <c r="I52" s="284"/>
      <c r="J52" s="284"/>
      <c r="K52" s="284"/>
      <c r="L52" s="284"/>
      <c r="M52" s="284"/>
      <c r="N52" s="284"/>
    </row>
    <row r="53" spans="1:14" hidden="1" x14ac:dyDescent="0.2">
      <c r="A53" s="284"/>
      <c r="B53" s="291" t="s">
        <v>34</v>
      </c>
      <c r="C53" s="284"/>
      <c r="D53" s="284"/>
      <c r="E53" s="284"/>
      <c r="F53" s="284"/>
      <c r="G53" s="284"/>
      <c r="H53" s="284"/>
      <c r="I53" s="284"/>
      <c r="J53" s="284"/>
      <c r="K53" s="284"/>
      <c r="L53" s="284"/>
      <c r="M53" s="284"/>
      <c r="N53" s="284"/>
    </row>
    <row r="54" spans="1:14" hidden="1" x14ac:dyDescent="0.2">
      <c r="A54" s="284"/>
      <c r="B54" s="291" t="s">
        <v>150</v>
      </c>
      <c r="C54" s="284"/>
      <c r="D54" s="284"/>
      <c r="E54" s="284"/>
      <c r="F54" s="284"/>
      <c r="G54" s="284"/>
      <c r="H54" s="284"/>
      <c r="I54" s="284"/>
      <c r="J54" s="284"/>
      <c r="K54" s="284"/>
      <c r="L54" s="284"/>
      <c r="M54" s="284"/>
      <c r="N54" s="284"/>
    </row>
    <row r="55" spans="1:14" hidden="1" x14ac:dyDescent="0.2">
      <c r="A55" s="284"/>
      <c r="B55" s="292" t="s">
        <v>33</v>
      </c>
      <c r="C55" s="284"/>
      <c r="D55" s="284"/>
      <c r="E55" s="284"/>
      <c r="F55" s="284"/>
      <c r="G55" s="284"/>
      <c r="H55" s="284"/>
      <c r="I55" s="284"/>
      <c r="J55" s="284"/>
      <c r="K55" s="284"/>
      <c r="L55" s="284"/>
      <c r="M55" s="284"/>
      <c r="N55" s="284"/>
    </row>
    <row r="56" spans="1:14" hidden="1" x14ac:dyDescent="0.2">
      <c r="A56" s="284"/>
      <c r="B56" s="292" t="s">
        <v>433</v>
      </c>
      <c r="C56" s="284"/>
      <c r="D56" s="284"/>
      <c r="E56" s="284"/>
      <c r="F56" s="284"/>
      <c r="G56" s="284"/>
      <c r="H56" s="284"/>
      <c r="I56" s="284"/>
      <c r="J56" s="284"/>
      <c r="K56" s="284"/>
      <c r="L56" s="284"/>
      <c r="M56" s="284"/>
      <c r="N56" s="284"/>
    </row>
    <row r="57" spans="1:14" hidden="1" x14ac:dyDescent="0.2">
      <c r="A57" s="284"/>
      <c r="B57" s="293" t="s">
        <v>332</v>
      </c>
      <c r="C57" s="284"/>
      <c r="D57" s="284"/>
      <c r="E57" s="284"/>
      <c r="F57" s="284"/>
      <c r="G57" s="284"/>
      <c r="H57" s="284"/>
      <c r="I57" s="284"/>
      <c r="J57" s="284"/>
      <c r="K57" s="284"/>
      <c r="L57" s="284"/>
      <c r="M57" s="284"/>
      <c r="N57" s="284"/>
    </row>
    <row r="58" spans="1:14" hidden="1" x14ac:dyDescent="0.2">
      <c r="A58" s="284"/>
      <c r="B58" s="284" t="s">
        <v>428</v>
      </c>
      <c r="C58" s="284"/>
      <c r="D58" s="284"/>
      <c r="E58" s="284"/>
      <c r="F58" s="284"/>
      <c r="G58" s="284"/>
      <c r="H58" s="284"/>
      <c r="I58" s="284"/>
      <c r="J58" s="284"/>
      <c r="K58" s="284"/>
      <c r="L58" s="284"/>
      <c r="M58" s="284"/>
      <c r="N58" s="284"/>
    </row>
    <row r="59" spans="1:14" hidden="1" x14ac:dyDescent="0.2"/>
    <row r="60" spans="1:14" hidden="1" x14ac:dyDescent="0.2"/>
    <row r="61" spans="1:14" hidden="1" x14ac:dyDescent="0.2"/>
    <row r="62" spans="1:14" hidden="1" x14ac:dyDescent="0.2"/>
    <row r="63" spans="1:14" hidden="1" x14ac:dyDescent="0.2"/>
    <row r="64" spans="1:1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</sheetData>
  <sheetProtection formatCells="0" formatColumns="0" formatRows="0"/>
  <protectedRanges>
    <protectedRange sqref="M7:N25 B8:L25 C6:D6 C7:L7 B6:B7 F6:N6" name="Диапазон2"/>
    <protectedRange sqref="B2:N2" name="Диапазон1"/>
  </protectedRanges>
  <dataConsolidate/>
  <customSheetViews>
    <customSheetView guid="{0047C449-E5B1-4E19-878D-F58E6F8A4677}" scale="85">
      <selection activeCell="B3" sqref="B3"/>
      <pageMargins left="0.7" right="0.7" top="0.75" bottom="0.75" header="0.3" footer="0.3"/>
      <pageSetup paperSize="9" orientation="portrait" r:id="rId1"/>
    </customSheetView>
  </customSheetViews>
  <mergeCells count="2">
    <mergeCell ref="G1:I1"/>
    <mergeCell ref="G2:I2"/>
  </mergeCells>
  <dataValidations xWindow="196" yWindow="305" count="9">
    <dataValidation allowBlank="1" promptTitle="Дата авансового отчета" prompt="Введите дату регистрации авансового отчета. Её можно посмотреть в файле регистрации на общем диске по адресу &quot;K:\Авансовые отчеты&quot;" sqref="C2" xr:uid="{00000000-0002-0000-0100-000000000000}"/>
    <dataValidation allowBlank="1" promptTitle="Получено, руб" prompt="Введите полученную сумму (в рублях)" sqref="F2" xr:uid="{00000000-0002-0000-0100-000001000000}"/>
    <dataValidation allowBlank="1" promptTitle="Регистрационный номер" prompt="Введите регистрационный номер авансового отчета. Его можно посмотреть в файле регистрации на общем диске по адресу &quot;K:\Авансовые отчеты&quot;" sqref="B2" xr:uid="{00000000-0002-0000-0100-000002000000}"/>
    <dataValidation allowBlank="1" promptTitle="Дата документа" prompt="Укажите дату платежного документа или дату приказа (для суточных)" sqref="C6:C25" xr:uid="{00000000-0002-0000-0100-000003000000}"/>
    <dataValidation allowBlank="1" showErrorMessage="1" promptTitle="Цена за единицу" prompt="Укажите сумму затрат на единицу товара (услуги). Если выбран вид расходов &quot;Суточные&quot;, данная графа заполняется автоматически." sqref="L6:L25" xr:uid="{00000000-0002-0000-0100-000004000000}"/>
    <dataValidation allowBlank="1" sqref="J2:N2 D6:D25 E7:F25 G6:H25 F6" xr:uid="{00000000-0002-0000-0100-000005000000}"/>
    <dataValidation type="list" allowBlank="1" showErrorMessage="1" errorTitle="Ошибка" error="Доступен только выбор из списка." promptTitle="Количество/признак" prompt="Если выбраны &quot;Суточные&quot;, укажите количество дней командировки._x000a_Если в запросе стоит признак ПРИБЫЛЬ - &quot;Прибыль&quot;._x000a_Если гостиница или билеты оплачены самостоятельно - &quot;Наличные&quot;._x000a_Если нет документов, подтверждающих расходы - &quot;Нет подтв.&quot;" sqref="J6:J25" xr:uid="{00000000-0002-0000-0100-000006000000}">
      <formula1>PaymentType</formula1>
    </dataValidation>
    <dataValidation type="list" allowBlank="1" showErrorMessage="1" errorTitle="Ошибка" error="Доступен только выбор из списка." sqref="I6:I25" xr:uid="{00000000-0002-0000-0100-000007000000}">
      <formula1>Income</formula1>
    </dataValidation>
    <dataValidation type="list" allowBlank="1" showErrorMessage="1" errorTitle="Выберие из списка" error="Произвольный ввод запрещен" promptTitle="ФИО" prompt="Выберие свою фамилию и инициалы из списка" sqref="D2" xr:uid="{00000000-0002-0000-0100-000008000000}">
      <formula1>EmployeesList</formula1>
    </dataValidation>
  </dataValidations>
  <hyperlinks>
    <hyperlink ref="J1" r:id="rId2" xr:uid="{00000000-0004-0000-0100-000000000000}"/>
    <hyperlink ref="N1" r:id="rId3" xr:uid="{00000000-0004-0000-0100-000001000000}"/>
  </hyperlinks>
  <pageMargins left="0.70866141732283472" right="0.70866141732283472" top="0.74803149606299213" bottom="0.74803149606299213" header="0.31496062992125984" footer="0.31496062992125984"/>
  <pageSetup paperSize="9" scale="62" fitToHeight="0" orientation="landscape" r:id="rId4"/>
  <extLst>
    <ext xmlns:x14="http://schemas.microsoft.com/office/spreadsheetml/2009/9/main" uri="{CCE6A557-97BC-4b89-ADB6-D9C93CAAB3DF}">
      <x14:dataValidations xmlns:xm="http://schemas.microsoft.com/office/excel/2006/main" xWindow="196" yWindow="305" count="4">
        <x14:dataValidation type="list" allowBlank="1" promptTitle="Валюта (если не RUB)" prompt="Выберите валюту, в которой были осуществлены расходы, если затраты производились не в рублях. Если в списке отсутствует нужная валюта - напечатайте ее наименование вручную" xr:uid="{00000000-0002-0000-0100-000009000000}">
          <x14:formula1>
            <xm:f>'Исходные данные'!$B$24:$B$28</xm:f>
          </x14:formula1>
          <xm:sqref>K6:K25</xm:sqref>
        </x14:dataValidation>
        <x14:dataValidation type="list" allowBlank="1" showErrorMessage="1" errorTitle="Выберите из списка" error="Произвольный ввод запрещен" xr:uid="{00000000-0002-0000-0100-00000A000000}">
          <x14:formula1>
            <xm:f>'Исходные данные'!$K$24:$K$25</xm:f>
          </x14:formula1>
          <xm:sqref>G2</xm:sqref>
        </x14:dataValidation>
        <x14:dataValidation type="list" allowBlank="1" promptTitle="Назначение аванса" prompt="Выберите из списка и допишите детали" xr:uid="{00000000-0002-0000-0100-00000B000000}">
          <x14:formula1>
            <xm:f>'Исходные данные'!$A$24:$A$30</xm:f>
          </x14:formula1>
          <xm:sqref>E2</xm:sqref>
        </x14:dataValidation>
        <x14:dataValidation type="list" allowBlank="1" showErrorMessage="1" errorTitle="Выберите из списка" error="Если в списке нет необходимого вида расходов, выберите &quot;Прочие расходы&quot; и в графе &quot;Комментарии&quot; напечатайте содержание расходов." promptTitle="Вид расходов" prompt="Выберите из списка" xr:uid="{00000000-0002-0000-0100-00000C000000}">
          <x14:formula1>
            <xm:f>'Исходные данные'!$D$24:$D$58</xm:f>
          </x14:formula1>
          <xm:sqref>B6:B25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pageSetUpPr fitToPage="1"/>
  </sheetPr>
  <dimension ref="A2:L74"/>
  <sheetViews>
    <sheetView showGridLines="0" view="pageBreakPreview" zoomScale="85" zoomScaleNormal="100" zoomScaleSheetLayoutView="85" workbookViewId="0">
      <selection activeCell="K24" sqref="K24"/>
    </sheetView>
  </sheetViews>
  <sheetFormatPr defaultColWidth="9.28515625" defaultRowHeight="12.75" x14ac:dyDescent="0.2"/>
  <cols>
    <col min="1" max="1" width="6.7109375" style="80" customWidth="1"/>
    <col min="2" max="2" width="11" style="80" customWidth="1"/>
    <col min="3" max="3" width="14.28515625" style="80" customWidth="1"/>
    <col min="4" max="4" width="31.5703125" style="80" customWidth="1"/>
    <col min="5" max="5" width="10.42578125" style="80" customWidth="1"/>
    <col min="6" max="6" width="10.28515625" style="80" customWidth="1"/>
    <col min="7" max="7" width="10.42578125" style="80" customWidth="1"/>
    <col min="8" max="8" width="9.5703125" style="80" customWidth="1"/>
    <col min="9" max="9" width="11.28515625" style="80" customWidth="1"/>
    <col min="10" max="10" width="14.28515625" style="80" customWidth="1"/>
    <col min="11" max="11" width="9.140625" style="80" customWidth="1"/>
    <col min="12" max="12" width="7.28515625" style="80" bestFit="1" customWidth="1"/>
    <col min="13" max="13" width="10.5703125" style="80" bestFit="1" customWidth="1"/>
    <col min="14" max="14" width="10.7109375" style="80" customWidth="1"/>
    <col min="15" max="16384" width="9.28515625" style="80"/>
  </cols>
  <sheetData>
    <row r="2" spans="1:10" x14ac:dyDescent="0.2">
      <c r="A2" s="81"/>
      <c r="B2" s="81"/>
      <c r="C2" s="81"/>
      <c r="D2" s="334"/>
      <c r="E2" s="82"/>
      <c r="F2" s="10"/>
      <c r="G2" s="82"/>
      <c r="H2" s="82"/>
      <c r="I2" s="82"/>
      <c r="J2" s="82"/>
    </row>
    <row r="3" spans="1:10" x14ac:dyDescent="0.2">
      <c r="A3" s="81"/>
      <c r="B3" s="81"/>
      <c r="C3" s="81"/>
      <c r="D3" s="81"/>
      <c r="E3" s="82"/>
      <c r="F3" s="10"/>
      <c r="G3" s="82"/>
      <c r="H3" s="82"/>
      <c r="I3" s="82"/>
      <c r="J3" s="82"/>
    </row>
    <row r="4" spans="1:10" x14ac:dyDescent="0.2">
      <c r="A4" s="81"/>
      <c r="B4" s="81"/>
      <c r="C4" s="81"/>
      <c r="D4" s="81"/>
      <c r="E4" s="82"/>
      <c r="F4" s="82"/>
      <c r="G4" s="82"/>
      <c r="H4" s="82"/>
      <c r="I4" s="83"/>
      <c r="J4" s="82"/>
    </row>
    <row r="5" spans="1:10" x14ac:dyDescent="0.2">
      <c r="A5" s="81"/>
      <c r="B5" s="81"/>
      <c r="C5" s="81"/>
      <c r="D5" s="81"/>
      <c r="E5" s="82"/>
      <c r="F5" s="82"/>
      <c r="G5" s="82"/>
      <c r="H5" s="84"/>
      <c r="I5" s="83"/>
      <c r="J5" s="82"/>
    </row>
    <row r="6" spans="1:10" x14ac:dyDescent="0.2">
      <c r="A6" s="81"/>
      <c r="B6" s="81"/>
      <c r="C6" s="81"/>
      <c r="D6" s="81"/>
      <c r="E6" s="82"/>
      <c r="F6" s="82"/>
      <c r="G6" s="82"/>
      <c r="H6" s="82"/>
      <c r="I6" s="83"/>
      <c r="J6" s="82"/>
    </row>
    <row r="7" spans="1:10" ht="15" x14ac:dyDescent="0.25">
      <c r="A7" s="420" t="s">
        <v>75</v>
      </c>
      <c r="B7" s="420"/>
      <c r="C7" s="420"/>
      <c r="D7" s="420"/>
      <c r="E7" s="420"/>
      <c r="F7" s="420"/>
      <c r="G7" s="420"/>
      <c r="H7" s="420"/>
      <c r="I7" s="420"/>
      <c r="J7" s="420"/>
    </row>
    <row r="8" spans="1:10" x14ac:dyDescent="0.2">
      <c r="A8" s="81"/>
      <c r="B8" s="81"/>
      <c r="C8" s="11" t="s">
        <v>76</v>
      </c>
      <c r="D8" s="81"/>
      <c r="E8" s="81"/>
      <c r="F8" s="81"/>
      <c r="G8" s="81"/>
      <c r="H8" s="81"/>
      <c r="I8" s="81"/>
      <c r="J8" s="81"/>
    </row>
    <row r="9" spans="1:10" x14ac:dyDescent="0.2">
      <c r="A9" s="81"/>
      <c r="B9" s="81"/>
      <c r="C9" s="81"/>
      <c r="D9" s="81"/>
      <c r="E9" s="81"/>
      <c r="F9" s="12" t="s">
        <v>77</v>
      </c>
      <c r="G9" s="13"/>
      <c r="H9" s="13"/>
      <c r="I9" s="13"/>
      <c r="J9" s="13"/>
    </row>
    <row r="10" spans="1:10" x14ac:dyDescent="0.2">
      <c r="A10" s="81"/>
      <c r="B10" s="81"/>
      <c r="C10" s="81"/>
      <c r="D10" s="81"/>
      <c r="E10" s="81"/>
      <c r="F10" s="13" t="s">
        <v>78</v>
      </c>
      <c r="G10" s="13"/>
      <c r="H10" s="27" t="str">
        <f>IF(LEN('Сумма прописью'!A8)&gt;30,UPPER(LEFT('Сумма прописью'!A9,1))&amp;MID('Сумма прописью'!A9,2,LEN('Сумма прописью'!A9)),UPPER(LEFT('Сумма прописью'!A8,1))&amp;MID('Сумма прописью'!A8,2,LEN('Сумма прописью'!A8)))</f>
        <v/>
      </c>
      <c r="I10" s="37"/>
      <c r="J10" s="37"/>
    </row>
    <row r="11" spans="1:10" x14ac:dyDescent="0.2">
      <c r="A11" s="81"/>
      <c r="B11" s="81"/>
      <c r="C11" s="81"/>
      <c r="D11" s="81"/>
      <c r="E11" s="81" t="s">
        <v>79</v>
      </c>
      <c r="F11" s="421" t="str">
        <f>IF(LEN('Сумма прописью'!A8)&gt;30,IF(E71&gt;1000,'Сумма прописью'!A10,UPPER(LEFT('Сумма прописью'!A10,1))&amp;MID('Сумма прописью'!A10,2,LEN('Сумма прописью'!A10))),"")</f>
        <v/>
      </c>
      <c r="G11" s="421"/>
      <c r="H11" s="421"/>
      <c r="I11" s="26" t="str">
        <f>"руб       "&amp;'Сумма прописью'!B8</f>
        <v>руб       00</v>
      </c>
      <c r="J11" s="13" t="s">
        <v>80</v>
      </c>
    </row>
    <row r="12" spans="1:10" x14ac:dyDescent="0.2">
      <c r="A12" s="81"/>
      <c r="B12" s="81"/>
      <c r="C12" s="81"/>
      <c r="D12" s="81"/>
      <c r="E12" s="81"/>
      <c r="F12" s="13" t="s">
        <v>81</v>
      </c>
      <c r="G12" s="13"/>
      <c r="H12" s="14"/>
      <c r="I12" s="14"/>
      <c r="J12" s="14"/>
    </row>
    <row r="13" spans="1:10" x14ac:dyDescent="0.2">
      <c r="A13" s="81"/>
      <c r="B13" s="81"/>
      <c r="C13" s="81"/>
      <c r="D13" s="81"/>
      <c r="E13" s="81"/>
      <c r="F13" s="15"/>
      <c r="G13" s="15"/>
      <c r="H13" s="13"/>
      <c r="I13" s="16" t="s">
        <v>1224</v>
      </c>
      <c r="J13" s="16"/>
    </row>
    <row r="14" spans="1:10" x14ac:dyDescent="0.2">
      <c r="A14" s="81"/>
      <c r="B14" s="81"/>
      <c r="C14" s="81"/>
      <c r="D14" s="81"/>
      <c r="E14" s="81"/>
      <c r="F14" s="17" t="s">
        <v>82</v>
      </c>
      <c r="G14" s="13"/>
      <c r="H14" s="13"/>
      <c r="I14" s="13" t="s">
        <v>83</v>
      </c>
      <c r="J14" s="13"/>
    </row>
    <row r="15" spans="1:10" x14ac:dyDescent="0.2">
      <c r="A15" s="81"/>
      <c r="B15" s="81"/>
      <c r="C15" s="81"/>
      <c r="D15" s="81"/>
      <c r="E15" s="81"/>
      <c r="F15" s="18" t="s">
        <v>84</v>
      </c>
      <c r="G15" s="19"/>
      <c r="H15" s="15"/>
      <c r="I15" s="13" t="s">
        <v>1659</v>
      </c>
      <c r="J15" s="13"/>
    </row>
    <row r="16" spans="1:10" x14ac:dyDescent="0.2">
      <c r="A16" s="81"/>
      <c r="B16" s="81"/>
      <c r="C16" s="81"/>
      <c r="D16" s="81"/>
      <c r="E16" s="81"/>
      <c r="F16" s="20" t="s">
        <v>85</v>
      </c>
      <c r="G16" s="20" t="s">
        <v>86</v>
      </c>
      <c r="H16" s="13"/>
      <c r="I16" s="13"/>
      <c r="J16" s="13"/>
    </row>
    <row r="17" spans="1:12" ht="15.75" x14ac:dyDescent="0.25">
      <c r="A17" s="81"/>
      <c r="B17" s="81"/>
      <c r="C17" s="21" t="s">
        <v>87</v>
      </c>
      <c r="D17" s="81"/>
      <c r="E17" s="81"/>
      <c r="F17" s="113" t="str">
        <f>IF('Форма для заполнения'!B2&lt;&gt;"",'Форма для заполнения'!B2,"")</f>
        <v/>
      </c>
      <c r="G17" s="121">
        <f>IF('Форма для заполнения'!C2&lt;&gt;"",'Форма для заполнения'!C2,"")</f>
        <v>44102</v>
      </c>
      <c r="H17" s="88"/>
      <c r="I17" s="88"/>
      <c r="J17" s="88"/>
    </row>
    <row r="18" spans="1:12" s="115" customFormat="1" ht="12" x14ac:dyDescent="0.2">
      <c r="A18" s="88"/>
      <c r="B18" s="88"/>
      <c r="C18" s="88"/>
      <c r="D18" s="88"/>
      <c r="E18" s="88"/>
      <c r="F18" s="88"/>
      <c r="G18" s="88"/>
      <c r="H18" s="88"/>
      <c r="I18" s="89" t="s">
        <v>88</v>
      </c>
      <c r="J18" s="88"/>
    </row>
    <row r="19" spans="1:12" s="115" customFormat="1" ht="12" x14ac:dyDescent="0.2">
      <c r="A19" s="88" t="s">
        <v>89</v>
      </c>
      <c r="B19" s="88"/>
      <c r="C19" s="95"/>
      <c r="D19" s="437" t="str">
        <f>IFERROR(IF(VLOOKUP(F73,'Список работников'!B:D,3,0)=0,"",VLOOKUP(F73,'Список работников'!B:D,3,0)),"")</f>
        <v/>
      </c>
      <c r="E19" s="437"/>
      <c r="F19" s="116"/>
      <c r="G19" s="116"/>
      <c r="H19" s="117" t="str">
        <f>IF(I19&lt;&gt;"","Подтверждающее лицо","")</f>
        <v/>
      </c>
      <c r="I19" s="260" t="str">
        <f>IFERROR(IF(VLOOKUP(F73,'Список работников'!B:L,13,0)=0,"",VLOOKUP(F73,'Список работников'!B:L,13,0)),"")</f>
        <v/>
      </c>
      <c r="J19" s="88"/>
    </row>
    <row r="20" spans="1:12" s="115" customFormat="1" ht="12" x14ac:dyDescent="0.2">
      <c r="A20" s="88" t="s">
        <v>90</v>
      </c>
      <c r="B20" s="88"/>
      <c r="C20" s="108"/>
      <c r="D20" s="438" t="str">
        <f>F73</f>
        <v/>
      </c>
      <c r="E20" s="438"/>
      <c r="F20" s="116"/>
      <c r="G20" s="88"/>
      <c r="H20" s="117" t="s">
        <v>91</v>
      </c>
      <c r="I20" s="118" t="str">
        <f>IFERROR(IF(VLOOKUP(F73,'Список работников'!B:E,2,0)=0,"",VLOOKUP(F73,'Список работников'!B:E,2,0)),"")</f>
        <v/>
      </c>
      <c r="J20" s="88"/>
    </row>
    <row r="21" spans="1:12" s="115" customFormat="1" ht="24" customHeight="1" x14ac:dyDescent="0.2">
      <c r="A21" s="88" t="s">
        <v>92</v>
      </c>
      <c r="B21" s="88"/>
      <c r="C21" s="108"/>
      <c r="D21" s="439" t="str">
        <f>IFERROR(IF(VLOOKUP(F73,'Список работников'!B:E,4,0)=0,"",VLOOKUP(F73,'Список работников'!B:E,4,0)),"")</f>
        <v/>
      </c>
      <c r="E21" s="439"/>
      <c r="F21" s="116" t="s">
        <v>27</v>
      </c>
      <c r="G21" s="88"/>
      <c r="H21" s="437" t="str">
        <f>IF('Форма для заполнения'!E2="","",'Форма для заполнения'!E2)</f>
        <v/>
      </c>
      <c r="I21" s="437"/>
      <c r="J21" s="437"/>
    </row>
    <row r="22" spans="1:12" s="115" customFormat="1" ht="12" x14ac:dyDescent="0.2">
      <c r="A22" s="119"/>
      <c r="B22" s="119"/>
      <c r="C22" s="119"/>
      <c r="D22" s="119"/>
      <c r="E22" s="119"/>
      <c r="F22" s="119"/>
      <c r="G22" s="119"/>
      <c r="H22" s="119"/>
      <c r="I22" s="119"/>
      <c r="J22" s="88"/>
    </row>
    <row r="23" spans="1:12" s="115" customFormat="1" ht="12" x14ac:dyDescent="0.2">
      <c r="A23" s="422" t="s">
        <v>93</v>
      </c>
      <c r="B23" s="423"/>
      <c r="C23" s="424"/>
      <c r="D23" s="120" t="s">
        <v>94</v>
      </c>
      <c r="E23" s="116"/>
      <c r="F23" s="107"/>
      <c r="G23" s="108" t="s">
        <v>95</v>
      </c>
      <c r="H23" s="108"/>
      <c r="I23" s="109"/>
      <c r="J23" s="88"/>
    </row>
    <row r="24" spans="1:12" x14ac:dyDescent="0.2">
      <c r="A24" s="101" t="s">
        <v>96</v>
      </c>
      <c r="B24" s="102"/>
      <c r="C24" s="103" t="s">
        <v>97</v>
      </c>
      <c r="D24" s="104">
        <f>'Форма для заполнения'!J2</f>
        <v>0</v>
      </c>
      <c r="E24" s="82"/>
      <c r="F24" s="23" t="s">
        <v>3</v>
      </c>
      <c r="G24" s="22"/>
      <c r="H24" s="23" t="s">
        <v>4</v>
      </c>
      <c r="I24" s="22"/>
      <c r="J24" s="81"/>
      <c r="K24" s="85"/>
      <c r="L24" s="86"/>
    </row>
    <row r="25" spans="1:12" x14ac:dyDescent="0.2">
      <c r="A25" s="105" t="s">
        <v>98</v>
      </c>
      <c r="B25" s="95"/>
      <c r="C25" s="106" t="s">
        <v>99</v>
      </c>
      <c r="D25" s="104">
        <f>IF('Форма для заполнения'!K2="0",0,'Форма для заполнения'!K2)</f>
        <v>0</v>
      </c>
      <c r="E25" s="82"/>
      <c r="F25" s="24" t="s">
        <v>100</v>
      </c>
      <c r="G25" s="24" t="s">
        <v>101</v>
      </c>
      <c r="H25" s="24" t="s">
        <v>100</v>
      </c>
      <c r="I25" s="24" t="s">
        <v>101</v>
      </c>
      <c r="J25" s="81"/>
      <c r="K25" s="384" t="s">
        <v>3</v>
      </c>
      <c r="L25" s="385" t="s">
        <v>29</v>
      </c>
    </row>
    <row r="26" spans="1:12" x14ac:dyDescent="0.2">
      <c r="A26" s="107" t="s">
        <v>299</v>
      </c>
      <c r="B26" s="108"/>
      <c r="C26" s="109" t="s">
        <v>300</v>
      </c>
      <c r="D26" s="104">
        <f>IF('Форма для заполнения'!G2='Исходные данные'!K25,'Форма для заполнения'!F2,0)</f>
        <v>0</v>
      </c>
      <c r="E26" s="82"/>
      <c r="F26" s="113" t="str">
        <f>IF(K27="","",K27)</f>
        <v/>
      </c>
      <c r="G26" s="130" t="str">
        <f>IF(L27="","",L27)</f>
        <v/>
      </c>
      <c r="H26" s="114" t="s">
        <v>102</v>
      </c>
      <c r="I26" s="104">
        <f>E71</f>
        <v>0</v>
      </c>
      <c r="J26" s="81"/>
      <c r="K26" s="38">
        <v>0</v>
      </c>
      <c r="L26" s="386">
        <v>0</v>
      </c>
    </row>
    <row r="27" spans="1:12" x14ac:dyDescent="0.2">
      <c r="A27" s="110"/>
      <c r="B27" s="111"/>
      <c r="C27" s="109" t="s">
        <v>301</v>
      </c>
      <c r="D27" s="104">
        <f>IF('Форма для заполнения'!G2='Исходные данные'!K24,'Форма для заполнения'!F2,0)</f>
        <v>0</v>
      </c>
      <c r="E27" s="82"/>
      <c r="F27" s="113" t="str">
        <f t="shared" ref="F27:F33" si="0">IF(K28="","",K28)</f>
        <v/>
      </c>
      <c r="G27" s="130" t="str">
        <f t="shared" ref="G27:G33" si="1">IF(L28="","",L28)</f>
        <v/>
      </c>
      <c r="H27" s="114"/>
      <c r="I27" s="104"/>
      <c r="J27" s="81"/>
      <c r="K27"/>
      <c r="L27"/>
    </row>
    <row r="28" spans="1:12" x14ac:dyDescent="0.2">
      <c r="A28" s="101"/>
      <c r="B28" s="108"/>
      <c r="C28" s="108" t="s">
        <v>302</v>
      </c>
      <c r="D28" s="104">
        <f>'Исходные данные'!O44</f>
        <v>0</v>
      </c>
      <c r="E28" s="82"/>
      <c r="F28" s="113" t="str">
        <f t="shared" si="0"/>
        <v/>
      </c>
      <c r="G28" s="130" t="str">
        <f t="shared" si="1"/>
        <v/>
      </c>
      <c r="H28" s="114"/>
      <c r="I28" s="104"/>
      <c r="J28" s="81"/>
      <c r="K28"/>
      <c r="L28"/>
    </row>
    <row r="29" spans="1:12" x14ac:dyDescent="0.2">
      <c r="A29" s="107"/>
      <c r="B29" s="108"/>
      <c r="C29" s="108" t="s">
        <v>303</v>
      </c>
      <c r="D29" s="104">
        <f>'Исходные данные'!P44</f>
        <v>0</v>
      </c>
      <c r="E29" s="82"/>
      <c r="F29" s="113" t="str">
        <f t="shared" si="0"/>
        <v/>
      </c>
      <c r="G29" s="130" t="str">
        <f t="shared" si="1"/>
        <v/>
      </c>
      <c r="H29" s="114"/>
      <c r="I29" s="104"/>
      <c r="J29" s="81"/>
      <c r="K29"/>
      <c r="L29"/>
    </row>
    <row r="30" spans="1:12" x14ac:dyDescent="0.2">
      <c r="A30" s="107" t="s">
        <v>103</v>
      </c>
      <c r="B30" s="108"/>
      <c r="C30" s="109"/>
      <c r="D30" s="112">
        <f>D26+D27+D28+D29</f>
        <v>0</v>
      </c>
      <c r="E30" s="82"/>
      <c r="F30" s="113" t="str">
        <f t="shared" si="0"/>
        <v/>
      </c>
      <c r="G30" s="130" t="str">
        <f t="shared" si="1"/>
        <v/>
      </c>
      <c r="H30" s="114"/>
      <c r="I30" s="104"/>
      <c r="J30" s="81"/>
      <c r="K30"/>
      <c r="L30"/>
    </row>
    <row r="31" spans="1:12" x14ac:dyDescent="0.2">
      <c r="A31" s="107" t="s">
        <v>104</v>
      </c>
      <c r="B31" s="108"/>
      <c r="C31" s="109"/>
      <c r="D31" s="112">
        <f>E71</f>
        <v>0</v>
      </c>
      <c r="E31" s="82"/>
      <c r="F31" s="113" t="str">
        <f t="shared" si="0"/>
        <v/>
      </c>
      <c r="G31" s="130" t="str">
        <f t="shared" si="1"/>
        <v/>
      </c>
      <c r="H31" s="114"/>
      <c r="I31" s="104"/>
      <c r="J31" s="81"/>
      <c r="K31" s="38"/>
      <c r="L31" s="38"/>
    </row>
    <row r="32" spans="1:12" x14ac:dyDescent="0.2">
      <c r="A32" s="107" t="s">
        <v>105</v>
      </c>
      <c r="B32" s="108"/>
      <c r="C32" s="109"/>
      <c r="D32" s="112">
        <f>IF(D30+D24-D25&gt;D31,D30+D24-D25-D31,0)</f>
        <v>0</v>
      </c>
      <c r="E32" s="82"/>
      <c r="F32" s="113" t="str">
        <f t="shared" si="0"/>
        <v/>
      </c>
      <c r="G32" s="130" t="str">
        <f t="shared" si="1"/>
        <v/>
      </c>
      <c r="H32" s="114"/>
      <c r="I32" s="104"/>
      <c r="J32" s="81"/>
      <c r="K32" s="38"/>
      <c r="L32" s="38"/>
    </row>
    <row r="33" spans="1:12" x14ac:dyDescent="0.2">
      <c r="A33" s="107" t="s">
        <v>74</v>
      </c>
      <c r="B33" s="108"/>
      <c r="C33" s="109"/>
      <c r="D33" s="112">
        <f>IF(D30&lt;D31-D24+D25,D31-D24+D25-D30,0)</f>
        <v>0</v>
      </c>
      <c r="E33" s="82"/>
      <c r="F33" s="113" t="str">
        <f t="shared" si="0"/>
        <v/>
      </c>
      <c r="G33" s="130" t="str">
        <f t="shared" si="1"/>
        <v/>
      </c>
      <c r="H33" s="114"/>
      <c r="I33" s="104"/>
      <c r="J33" s="81"/>
      <c r="K33" s="38"/>
      <c r="L33" s="38"/>
    </row>
    <row r="34" spans="1:12" x14ac:dyDescent="0.2">
      <c r="A34" s="99" t="str">
        <f>"Приложение     "&amp;N('Форма для заполнения'!L2)</f>
        <v>Приложение     0</v>
      </c>
      <c r="B34" s="100"/>
      <c r="C34" s="99" t="s">
        <v>106</v>
      </c>
      <c r="D34" s="99" t="str">
        <f>"на    "&amp;N('Форма для заполнения'!M2)&amp;"     листах"</f>
        <v>на    0     листах</v>
      </c>
      <c r="E34" s="88"/>
      <c r="F34" s="435" t="str">
        <f>UPPER(LEFT('Сумма прописью'!A7,1))&amp;MID('Сумма прописью'!A7,2,LEN('Сумма прописью'!A7))</f>
        <v>Руб. 00 коп.</v>
      </c>
      <c r="G34" s="435"/>
      <c r="H34" s="435"/>
      <c r="I34" s="435"/>
      <c r="J34" s="88"/>
      <c r="K34" s="38"/>
      <c r="L34" s="38"/>
    </row>
    <row r="35" spans="1:12" x14ac:dyDescent="0.2">
      <c r="A35" s="88"/>
      <c r="B35" s="88"/>
      <c r="C35" s="88"/>
      <c r="D35" s="88"/>
      <c r="E35" s="88"/>
      <c r="F35" s="436"/>
      <c r="G35" s="436"/>
      <c r="H35" s="436"/>
      <c r="I35" s="436"/>
      <c r="J35" s="88"/>
      <c r="K35" s="38"/>
      <c r="L35" s="38"/>
    </row>
    <row r="36" spans="1:12" x14ac:dyDescent="0.2">
      <c r="A36" s="13"/>
      <c r="B36" s="13"/>
      <c r="C36" s="13"/>
      <c r="D36" s="13"/>
      <c r="E36" s="13"/>
      <c r="F36" s="13" t="s">
        <v>107</v>
      </c>
      <c r="G36" s="13"/>
      <c r="H36" s="13"/>
      <c r="I36" s="13"/>
      <c r="J36" s="81"/>
      <c r="K36" s="38"/>
      <c r="L36" s="38"/>
    </row>
    <row r="37" spans="1:12" x14ac:dyDescent="0.2">
      <c r="A37" s="88" t="s">
        <v>108</v>
      </c>
      <c r="B37" s="88"/>
      <c r="C37" s="95"/>
      <c r="D37" s="95"/>
      <c r="E37" s="88"/>
      <c r="F37" s="95" t="s">
        <v>109</v>
      </c>
      <c r="G37" s="95"/>
      <c r="H37" s="88"/>
      <c r="I37" s="88"/>
      <c r="J37" s="88"/>
      <c r="K37" s="38"/>
      <c r="L37" s="38"/>
    </row>
    <row r="38" spans="1:12" x14ac:dyDescent="0.2">
      <c r="A38" s="13"/>
      <c r="B38" s="13"/>
      <c r="C38" s="17" t="s">
        <v>82</v>
      </c>
      <c r="D38" s="13"/>
      <c r="E38" s="13"/>
      <c r="F38" s="13" t="s">
        <v>83</v>
      </c>
      <c r="G38" s="13"/>
      <c r="H38" s="13"/>
      <c r="I38" s="13"/>
      <c r="J38" s="81"/>
      <c r="K38" s="38"/>
      <c r="L38" s="38"/>
    </row>
    <row r="39" spans="1:12" x14ac:dyDescent="0.2">
      <c r="A39" s="88" t="s">
        <v>12</v>
      </c>
      <c r="B39" s="88"/>
      <c r="C39" s="98"/>
      <c r="D39" s="95"/>
      <c r="E39" s="88"/>
      <c r="F39" s="95" t="s">
        <v>110</v>
      </c>
      <c r="G39" s="95"/>
      <c r="H39" s="88"/>
      <c r="I39" s="88"/>
      <c r="J39" s="88"/>
      <c r="K39" s="38"/>
      <c r="L39" s="38"/>
    </row>
    <row r="40" spans="1:12" x14ac:dyDescent="0.2">
      <c r="A40" s="13"/>
      <c r="B40" s="13"/>
      <c r="C40" s="17" t="s">
        <v>82</v>
      </c>
      <c r="D40" s="13"/>
      <c r="E40" s="13"/>
      <c r="F40" s="13" t="s">
        <v>83</v>
      </c>
      <c r="G40" s="13"/>
      <c r="H40" s="13"/>
      <c r="I40" s="13"/>
      <c r="J40" s="81"/>
      <c r="K40" s="38"/>
      <c r="L40" s="38"/>
    </row>
    <row r="41" spans="1:12" x14ac:dyDescent="0.2">
      <c r="A41" s="10"/>
      <c r="B41" s="10"/>
      <c r="C41" s="10"/>
      <c r="D41" s="10"/>
      <c r="E41" s="10"/>
      <c r="F41" s="10"/>
      <c r="G41" s="10"/>
      <c r="H41" s="10"/>
      <c r="I41" s="10"/>
      <c r="J41" s="81"/>
      <c r="K41" s="38"/>
      <c r="L41" s="38"/>
    </row>
    <row r="42" spans="1:12" x14ac:dyDescent="0.2">
      <c r="A42" s="10"/>
      <c r="B42" s="10"/>
      <c r="C42" s="10"/>
      <c r="D42" s="10"/>
      <c r="E42" s="10"/>
      <c r="F42" s="10"/>
      <c r="G42" s="10"/>
      <c r="H42" s="10"/>
      <c r="I42" s="10"/>
      <c r="J42" s="81"/>
    </row>
    <row r="43" spans="1:12" x14ac:dyDescent="0.2">
      <c r="A43" s="10"/>
      <c r="B43" s="10"/>
      <c r="C43" s="10"/>
      <c r="D43" s="10"/>
      <c r="E43" s="10"/>
      <c r="F43" s="10"/>
      <c r="G43" s="10"/>
      <c r="H43" s="10"/>
      <c r="I43" s="10"/>
      <c r="J43" s="81"/>
    </row>
    <row r="44" spans="1:12" x14ac:dyDescent="0.2">
      <c r="A44" s="25"/>
      <c r="B44" s="13"/>
      <c r="C44" s="13"/>
      <c r="D44" s="13"/>
      <c r="E44" s="13"/>
      <c r="F44" s="13"/>
      <c r="G44" s="13"/>
      <c r="H44" s="13"/>
      <c r="I44" s="13"/>
      <c r="J44" s="81"/>
    </row>
    <row r="45" spans="1:12" x14ac:dyDescent="0.2">
      <c r="A45" s="13"/>
      <c r="B45" s="13"/>
      <c r="C45" s="13"/>
      <c r="D45" s="13"/>
      <c r="E45" s="13"/>
      <c r="F45" s="13"/>
      <c r="G45" s="13"/>
      <c r="H45" s="13"/>
      <c r="I45" s="13"/>
      <c r="J45" s="81"/>
    </row>
    <row r="46" spans="1:12" x14ac:dyDescent="0.2">
      <c r="A46" s="13"/>
      <c r="B46" s="13"/>
      <c r="C46" s="13"/>
      <c r="D46" s="13"/>
      <c r="E46" s="13"/>
      <c r="F46" s="13"/>
      <c r="G46" s="13"/>
      <c r="H46" s="13"/>
      <c r="I46" s="13"/>
      <c r="J46" s="81"/>
    </row>
    <row r="47" spans="1:12" x14ac:dyDescent="0.2">
      <c r="A47" s="425" t="s">
        <v>111</v>
      </c>
      <c r="B47" s="428" t="s">
        <v>112</v>
      </c>
      <c r="C47" s="429"/>
      <c r="D47" s="425" t="s">
        <v>113</v>
      </c>
      <c r="E47" s="432" t="s">
        <v>114</v>
      </c>
      <c r="F47" s="433"/>
      <c r="G47" s="433"/>
      <c r="H47" s="434"/>
      <c r="I47" s="425" t="s">
        <v>115</v>
      </c>
      <c r="J47" s="88"/>
    </row>
    <row r="48" spans="1:12" x14ac:dyDescent="0.2">
      <c r="A48" s="426"/>
      <c r="B48" s="430"/>
      <c r="C48" s="431"/>
      <c r="D48" s="426"/>
      <c r="E48" s="432" t="s">
        <v>116</v>
      </c>
      <c r="F48" s="434"/>
      <c r="G48" s="432" t="s">
        <v>117</v>
      </c>
      <c r="H48" s="434"/>
      <c r="I48" s="426"/>
      <c r="J48" s="88"/>
    </row>
    <row r="49" spans="1:10" x14ac:dyDescent="0.2">
      <c r="A49" s="427"/>
      <c r="B49" s="96" t="s">
        <v>118</v>
      </c>
      <c r="C49" s="96" t="s">
        <v>119</v>
      </c>
      <c r="D49" s="427"/>
      <c r="E49" s="96" t="s">
        <v>120</v>
      </c>
      <c r="F49" s="97" t="s">
        <v>121</v>
      </c>
      <c r="G49" s="96" t="s">
        <v>120</v>
      </c>
      <c r="H49" s="97" t="s">
        <v>121</v>
      </c>
      <c r="I49" s="427"/>
      <c r="J49" s="88"/>
    </row>
    <row r="50" spans="1:10" x14ac:dyDescent="0.2">
      <c r="A50" s="89">
        <v>1</v>
      </c>
      <c r="B50" s="89">
        <v>2</v>
      </c>
      <c r="C50" s="89">
        <v>3</v>
      </c>
      <c r="D50" s="89">
        <v>4</v>
      </c>
      <c r="E50" s="89">
        <v>5</v>
      </c>
      <c r="F50" s="89">
        <v>6</v>
      </c>
      <c r="G50" s="89">
        <v>7</v>
      </c>
      <c r="H50" s="89">
        <v>8</v>
      </c>
      <c r="I50" s="89">
        <v>9</v>
      </c>
      <c r="J50" s="88"/>
    </row>
    <row r="51" spans="1:10" s="87" customFormat="1" x14ac:dyDescent="0.2">
      <c r="A51" s="90">
        <v>1</v>
      </c>
      <c r="B51" s="56" t="str">
        <f>IF('Форма для заполнения'!C6="","",'Форма для заполнения'!C6)</f>
        <v/>
      </c>
      <c r="C51" s="57" t="str">
        <f>IF('Форма для заполнения'!D6="","",'Форма для заполнения'!D6)</f>
        <v/>
      </c>
      <c r="D51" s="57" t="str">
        <f>IF('Форма для заполнения'!B6="","",TRIM(CONCATENATE('Форма для заполнения'!B6," ",'Форма для заполнения'!E6," ",'Форма для заполнения'!F6," ",'Форма для заполнения'!G6)))</f>
        <v/>
      </c>
      <c r="E51" s="266" t="str">
        <f>IFERROR(IF('Форма для заполнения'!B6="","",IF(IFERROR(SEARCH("НДС",'Форма для заполнения'!B6),0),'Форма для заполнения'!M6,'Форма для заполнения'!M6-IFERROR(IF(SEARCH("НДС",'Форма для заполнения'!B7),'Форма для заполнения'!M7,0),0)-IFERROR(IF(AND(SEARCH("НДС",'Форма для заполнения'!B7),SEARCH("НДС",'Форма для заполнения'!B8)),'Форма для заполнения'!M8,0),0))),"")</f>
        <v/>
      </c>
      <c r="F51" s="91"/>
      <c r="G51" s="91"/>
      <c r="H51" s="91"/>
      <c r="I51" s="261">
        <f>IF(E51="0","",'Форма для заполнения'!N6)</f>
        <v>0</v>
      </c>
      <c r="J51" s="264" t="str">
        <f>IF('Форма для заполнения'!O6=0,"",'Форма для заполнения'!O6)</f>
        <v/>
      </c>
    </row>
    <row r="52" spans="1:10" s="87" customFormat="1" x14ac:dyDescent="0.2">
      <c r="A52" s="90">
        <v>2</v>
      </c>
      <c r="B52" s="56" t="str">
        <f>IF('Форма для заполнения'!C7="","",'Форма для заполнения'!C7)</f>
        <v/>
      </c>
      <c r="C52" s="57" t="str">
        <f>IF('Форма для заполнения'!D7="","",'Форма для заполнения'!D7)</f>
        <v/>
      </c>
      <c r="D52" s="57" t="str">
        <f>IF('Форма для заполнения'!B7="","",TRIM(CONCATENATE('Форма для заполнения'!B7," ",'Форма для заполнения'!E7," ",'Форма для заполнения'!F7," ",'Форма для заполнения'!G7)))</f>
        <v/>
      </c>
      <c r="E52" s="266" t="str">
        <f>IFERROR(IF('Форма для заполнения'!B7="","",IF(IFERROR(SEARCH("НДС",'Форма для заполнения'!B7),0),'Форма для заполнения'!M7,'Форма для заполнения'!M7-IFERROR(IF(SEARCH("НДС",'Форма для заполнения'!B8),'Форма для заполнения'!M8,0),0)-IFERROR(IF(AND(SEARCH("НДС",'Форма для заполнения'!B8),SEARCH("НДС",'Форма для заполнения'!B9)),'Форма для заполнения'!M9,0),0))),"")</f>
        <v/>
      </c>
      <c r="F52" s="91"/>
      <c r="G52" s="91"/>
      <c r="H52" s="91"/>
      <c r="I52" s="261">
        <f>IF(E52="0","",'Форма для заполнения'!N7)</f>
        <v>0</v>
      </c>
      <c r="J52" s="264" t="str">
        <f>IF('Форма для заполнения'!O7=0,"",'Форма для заполнения'!O7)</f>
        <v/>
      </c>
    </row>
    <row r="53" spans="1:10" s="87" customFormat="1" x14ac:dyDescent="0.2">
      <c r="A53" s="90">
        <v>3</v>
      </c>
      <c r="B53" s="56" t="str">
        <f>IF('Форма для заполнения'!C8="","",'Форма для заполнения'!C8)</f>
        <v/>
      </c>
      <c r="C53" s="57" t="str">
        <f>IF('Форма для заполнения'!D8="","",'Форма для заполнения'!D8)</f>
        <v/>
      </c>
      <c r="D53" s="57" t="str">
        <f>IF('Форма для заполнения'!B8="","",TRIM(CONCATENATE('Форма для заполнения'!B8," ",'Форма для заполнения'!E8," ",'Форма для заполнения'!F8," ",'Форма для заполнения'!G8)))</f>
        <v/>
      </c>
      <c r="E53" s="266" t="str">
        <f>IFERROR(IF('Форма для заполнения'!B8="","",IF(IFERROR(SEARCH("НДС",'Форма для заполнения'!B8),0),'Форма для заполнения'!M8,'Форма для заполнения'!M8-IFERROR(IF(SEARCH("НДС",'Форма для заполнения'!B9),'Форма для заполнения'!M9,0),0)-IFERROR(IF(AND(SEARCH("НДС",'Форма для заполнения'!B9),SEARCH("НДС",'Форма для заполнения'!B10)),'Форма для заполнения'!M10,0),0))),"")</f>
        <v/>
      </c>
      <c r="F53" s="91"/>
      <c r="G53" s="91"/>
      <c r="H53" s="91"/>
      <c r="I53" s="261">
        <f>IF(E53="0","",'Форма для заполнения'!N8)</f>
        <v>0</v>
      </c>
      <c r="J53" s="264" t="str">
        <f>IF('Форма для заполнения'!O8=0,"",'Форма для заполнения'!O8)</f>
        <v/>
      </c>
    </row>
    <row r="54" spans="1:10" s="87" customFormat="1" x14ac:dyDescent="0.2">
      <c r="A54" s="90">
        <v>4</v>
      </c>
      <c r="B54" s="56" t="str">
        <f>IF('Форма для заполнения'!C9="","",'Форма для заполнения'!C9)</f>
        <v/>
      </c>
      <c r="C54" s="57" t="str">
        <f>IF('Форма для заполнения'!D9="","",'Форма для заполнения'!D9)</f>
        <v/>
      </c>
      <c r="D54" s="57" t="str">
        <f>IF('Форма для заполнения'!B9="","",TRIM(CONCATENATE('Форма для заполнения'!B9," ",'Форма для заполнения'!E9," ",'Форма для заполнения'!F9," ",'Форма для заполнения'!G9)))</f>
        <v/>
      </c>
      <c r="E54" s="266" t="str">
        <f>IFERROR(IF('Форма для заполнения'!B9="","",IF(IFERROR(SEARCH("НДС",'Форма для заполнения'!B9),0),'Форма для заполнения'!M9,'Форма для заполнения'!M9-IFERROR(IF(SEARCH("НДС",'Форма для заполнения'!B10),'Форма для заполнения'!M10,0),0)-IFERROR(IF(AND(SEARCH("НДС",'Форма для заполнения'!B10),SEARCH("НДС",'Форма для заполнения'!B11)),'Форма для заполнения'!M11,0),0))),"")</f>
        <v/>
      </c>
      <c r="F54" s="91"/>
      <c r="G54" s="91"/>
      <c r="H54" s="91"/>
      <c r="I54" s="261">
        <f>IF(E54="0","",'Форма для заполнения'!N9)</f>
        <v>0</v>
      </c>
      <c r="J54" s="264" t="str">
        <f>IF('Форма для заполнения'!O9=0,"",'Форма для заполнения'!O9)</f>
        <v/>
      </c>
    </row>
    <row r="55" spans="1:10" s="87" customFormat="1" x14ac:dyDescent="0.2">
      <c r="A55" s="90">
        <v>5</v>
      </c>
      <c r="B55" s="56" t="str">
        <f>IF('Форма для заполнения'!C10="","",'Форма для заполнения'!C10)</f>
        <v/>
      </c>
      <c r="C55" s="57" t="str">
        <f>IF('Форма для заполнения'!D10="","",'Форма для заполнения'!D10)</f>
        <v/>
      </c>
      <c r="D55" s="57" t="str">
        <f>IF('Форма для заполнения'!B10="","",TRIM(CONCATENATE('Форма для заполнения'!B10," ",'Форма для заполнения'!E10," ",'Форма для заполнения'!F10," ",'Форма для заполнения'!G10)))</f>
        <v/>
      </c>
      <c r="E55" s="266" t="str">
        <f>IFERROR(IF('Форма для заполнения'!B10="","",IF(IFERROR(SEARCH("НДС",'Форма для заполнения'!B10),0),'Форма для заполнения'!M10,'Форма для заполнения'!M10-IFERROR(IF(SEARCH("НДС",'Форма для заполнения'!B11),'Форма для заполнения'!M11,0),0)-IFERROR(IF(AND(SEARCH("НДС",'Форма для заполнения'!B11),SEARCH("НДС",'Форма для заполнения'!B12)),'Форма для заполнения'!M12,0),0))),"")</f>
        <v/>
      </c>
      <c r="F55" s="91"/>
      <c r="G55" s="91"/>
      <c r="H55" s="91"/>
      <c r="I55" s="261">
        <f>IF(E55="0","",'Форма для заполнения'!N10)</f>
        <v>0</v>
      </c>
      <c r="J55" s="264" t="str">
        <f>IF('Форма для заполнения'!O10=0,"",'Форма для заполнения'!O10)</f>
        <v/>
      </c>
    </row>
    <row r="56" spans="1:10" s="87" customFormat="1" x14ac:dyDescent="0.2">
      <c r="A56" s="90">
        <v>6</v>
      </c>
      <c r="B56" s="56" t="str">
        <f>IF('Форма для заполнения'!C11="","",'Форма для заполнения'!C11)</f>
        <v/>
      </c>
      <c r="C56" s="57" t="str">
        <f>IF('Форма для заполнения'!D11="","",'Форма для заполнения'!D11)</f>
        <v/>
      </c>
      <c r="D56" s="57" t="str">
        <f>IF('Форма для заполнения'!B11="","",TRIM(CONCATENATE('Форма для заполнения'!B11," ",'Форма для заполнения'!E11," ",'Форма для заполнения'!F11," ",'Форма для заполнения'!G11)))</f>
        <v/>
      </c>
      <c r="E56" s="266" t="str">
        <f>IFERROR(IF('Форма для заполнения'!B11="","",IF(IFERROR(SEARCH("НДС",'Форма для заполнения'!B11),0),'Форма для заполнения'!M11,'Форма для заполнения'!M11-IFERROR(IF(SEARCH("НДС",'Форма для заполнения'!B12),'Форма для заполнения'!M12,0),0)-IFERROR(IF(AND(SEARCH("НДС",'Форма для заполнения'!B12),SEARCH("НДС",'Форма для заполнения'!B13)),'Форма для заполнения'!M13,0),0))),"")</f>
        <v/>
      </c>
      <c r="F56" s="91"/>
      <c r="G56" s="91"/>
      <c r="H56" s="91"/>
      <c r="I56" s="261">
        <f>IF(E56="0","",'Форма для заполнения'!N11)</f>
        <v>0</v>
      </c>
      <c r="J56" s="264" t="str">
        <f>IF('Форма для заполнения'!O11=0,"",'Форма для заполнения'!O11)</f>
        <v/>
      </c>
    </row>
    <row r="57" spans="1:10" s="87" customFormat="1" x14ac:dyDescent="0.2">
      <c r="A57" s="90">
        <v>7</v>
      </c>
      <c r="B57" s="56" t="str">
        <f>IF('Форма для заполнения'!C12="","",'Форма для заполнения'!C12)</f>
        <v/>
      </c>
      <c r="C57" s="57" t="str">
        <f>IF('Форма для заполнения'!D12="","",'Форма для заполнения'!D12)</f>
        <v/>
      </c>
      <c r="D57" s="57" t="str">
        <f>IF('Форма для заполнения'!B12="","",TRIM(CONCATENATE('Форма для заполнения'!B12," ",'Форма для заполнения'!E12," ",'Форма для заполнения'!F12," ",'Форма для заполнения'!G12)))</f>
        <v/>
      </c>
      <c r="E57" s="266" t="str">
        <f>IFERROR(IF('Форма для заполнения'!B12="","",IF(IFERROR(SEARCH("НДС",'Форма для заполнения'!B12),0),'Форма для заполнения'!M12,'Форма для заполнения'!M12-IFERROR(IF(SEARCH("НДС",'Форма для заполнения'!B13),'Форма для заполнения'!M13,0),0)-IFERROR(IF(AND(SEARCH("НДС",'Форма для заполнения'!B13),SEARCH("НДС",'Форма для заполнения'!B14)),'Форма для заполнения'!M14,0),0))),"")</f>
        <v/>
      </c>
      <c r="F57" s="91"/>
      <c r="G57" s="91"/>
      <c r="H57" s="91"/>
      <c r="I57" s="261">
        <f>IF(E57="0","",'Форма для заполнения'!N12)</f>
        <v>0</v>
      </c>
      <c r="J57" s="264" t="str">
        <f>IF('Форма для заполнения'!O12=0,"",'Форма для заполнения'!O12)</f>
        <v/>
      </c>
    </row>
    <row r="58" spans="1:10" s="87" customFormat="1" x14ac:dyDescent="0.2">
      <c r="A58" s="90">
        <v>8</v>
      </c>
      <c r="B58" s="56" t="str">
        <f>IF('Форма для заполнения'!C13="","",'Форма для заполнения'!C13)</f>
        <v/>
      </c>
      <c r="C58" s="57" t="str">
        <f>IF('Форма для заполнения'!D13="","",'Форма для заполнения'!D13)</f>
        <v/>
      </c>
      <c r="D58" s="57" t="str">
        <f>IF('Форма для заполнения'!B13="","",TRIM(CONCATENATE('Форма для заполнения'!B13," ",'Форма для заполнения'!E13," ",'Форма для заполнения'!F13," ",'Форма для заполнения'!G13)))</f>
        <v/>
      </c>
      <c r="E58" s="266" t="str">
        <f>IFERROR(IF('Форма для заполнения'!B13="","",IF(IFERROR(SEARCH("НДС",'Форма для заполнения'!B13),0),'Форма для заполнения'!M13,'Форма для заполнения'!M13-IFERROR(IF(SEARCH("НДС",'Форма для заполнения'!B14),'Форма для заполнения'!M14,0),0)-IFERROR(IF(AND(SEARCH("НДС",'Форма для заполнения'!B14),SEARCH("НДС",'Форма для заполнения'!B15)),'Форма для заполнения'!M15,0),0))),"")</f>
        <v/>
      </c>
      <c r="F58" s="91"/>
      <c r="G58" s="91"/>
      <c r="H58" s="91"/>
      <c r="I58" s="261">
        <f>IF(E58="0","",'Форма для заполнения'!N13)</f>
        <v>0</v>
      </c>
      <c r="J58" s="264" t="str">
        <f>IF('Форма для заполнения'!O13=0,"",'Форма для заполнения'!O13)</f>
        <v/>
      </c>
    </row>
    <row r="59" spans="1:10" s="87" customFormat="1" x14ac:dyDescent="0.2">
      <c r="A59" s="90">
        <v>9</v>
      </c>
      <c r="B59" s="56" t="str">
        <f>IF('Форма для заполнения'!C14="","",'Форма для заполнения'!C14)</f>
        <v/>
      </c>
      <c r="C59" s="57" t="str">
        <f>IF('Форма для заполнения'!D14="","",'Форма для заполнения'!D14)</f>
        <v/>
      </c>
      <c r="D59" s="57" t="str">
        <f>IF('Форма для заполнения'!B14="","",TRIM(CONCATENATE('Форма для заполнения'!B14," ",'Форма для заполнения'!E14," ",'Форма для заполнения'!F14," ",'Форма для заполнения'!G14)))</f>
        <v/>
      </c>
      <c r="E59" s="266" t="str">
        <f>IFERROR(IF('Форма для заполнения'!B14="","",IF(IFERROR(SEARCH("НДС",'Форма для заполнения'!B14),0),'Форма для заполнения'!M14,'Форма для заполнения'!M14-IFERROR(IF(SEARCH("НДС",'Форма для заполнения'!B15),'Форма для заполнения'!M15,0),0)-IFERROR(IF(AND(SEARCH("НДС",'Форма для заполнения'!B15),SEARCH("НДС",'Форма для заполнения'!B16)),'Форма для заполнения'!M16,0),0))),"")</f>
        <v/>
      </c>
      <c r="F59" s="91"/>
      <c r="G59" s="91"/>
      <c r="H59" s="91"/>
      <c r="I59" s="261">
        <f>IF(E59="0","",'Форма для заполнения'!N14)</f>
        <v>0</v>
      </c>
      <c r="J59" s="264" t="str">
        <f>IF('Форма для заполнения'!O14=0,"",'Форма для заполнения'!O14)</f>
        <v/>
      </c>
    </row>
    <row r="60" spans="1:10" s="87" customFormat="1" x14ac:dyDescent="0.2">
      <c r="A60" s="90">
        <v>10</v>
      </c>
      <c r="B60" s="56" t="str">
        <f>IF('Форма для заполнения'!C15="","",'Форма для заполнения'!C15)</f>
        <v/>
      </c>
      <c r="C60" s="57" t="str">
        <f>IF('Форма для заполнения'!D15="","",'Форма для заполнения'!D15)</f>
        <v/>
      </c>
      <c r="D60" s="57" t="str">
        <f>IF('Форма для заполнения'!B15="","",TRIM(CONCATENATE('Форма для заполнения'!B15," ",'Форма для заполнения'!E15," ",'Форма для заполнения'!F15," ",'Форма для заполнения'!G15)))</f>
        <v/>
      </c>
      <c r="E60" s="266" t="str">
        <f>IFERROR(IF('Форма для заполнения'!B15="","",IF(IFERROR(SEARCH("НДС",'Форма для заполнения'!B15),0),'Форма для заполнения'!M15,'Форма для заполнения'!M15-IFERROR(IF(SEARCH("НДС",'Форма для заполнения'!B16),'Форма для заполнения'!M16,0),0)-IFERROR(IF(AND(SEARCH("НДС",'Форма для заполнения'!B16),SEARCH("НДС",'Форма для заполнения'!B17)),'Форма для заполнения'!M17,0),0))),"")</f>
        <v/>
      </c>
      <c r="F60" s="91"/>
      <c r="G60" s="91"/>
      <c r="H60" s="91"/>
      <c r="I60" s="261">
        <f>IF(E60="0","",'Форма для заполнения'!N15)</f>
        <v>0</v>
      </c>
      <c r="J60" s="264" t="str">
        <f>IF('Форма для заполнения'!O15=0,"",'Форма для заполнения'!O15)</f>
        <v/>
      </c>
    </row>
    <row r="61" spans="1:10" s="87" customFormat="1" x14ac:dyDescent="0.2">
      <c r="A61" s="90">
        <v>11</v>
      </c>
      <c r="B61" s="56" t="str">
        <f>IF('Форма для заполнения'!C16="","",'Форма для заполнения'!C16)</f>
        <v/>
      </c>
      <c r="C61" s="57" t="str">
        <f>IF('Форма для заполнения'!D16="","",'Форма для заполнения'!D16)</f>
        <v/>
      </c>
      <c r="D61" s="57" t="str">
        <f>IF('Форма для заполнения'!B16="","",TRIM(CONCATENATE('Форма для заполнения'!B16," ",'Форма для заполнения'!E16," ",'Форма для заполнения'!F16," ",'Форма для заполнения'!G16)))</f>
        <v/>
      </c>
      <c r="E61" s="266" t="str">
        <f>IFERROR(IF('Форма для заполнения'!B16="","",IF(IFERROR(SEARCH("НДС",'Форма для заполнения'!B16),0),'Форма для заполнения'!M16,'Форма для заполнения'!M16-IFERROR(IF(SEARCH("НДС",'Форма для заполнения'!B17),'Форма для заполнения'!M17,0),0)-IFERROR(IF(AND(SEARCH("НДС",'Форма для заполнения'!B17),SEARCH("НДС",'Форма для заполнения'!B18)),'Форма для заполнения'!M18,0),0))),"")</f>
        <v/>
      </c>
      <c r="F61" s="91"/>
      <c r="G61" s="91"/>
      <c r="H61" s="91"/>
      <c r="I61" s="261">
        <f>IF(E61="0","",'Форма для заполнения'!N16)</f>
        <v>0</v>
      </c>
      <c r="J61" s="264" t="str">
        <f>IF('Форма для заполнения'!O16=0,"",'Форма для заполнения'!O16)</f>
        <v/>
      </c>
    </row>
    <row r="62" spans="1:10" s="87" customFormat="1" x14ac:dyDescent="0.2">
      <c r="A62" s="90">
        <v>12</v>
      </c>
      <c r="B62" s="56" t="str">
        <f>IF('Форма для заполнения'!C17="","",'Форма для заполнения'!C17)</f>
        <v/>
      </c>
      <c r="C62" s="57" t="str">
        <f>IF('Форма для заполнения'!D17="","",'Форма для заполнения'!D17)</f>
        <v/>
      </c>
      <c r="D62" s="57" t="str">
        <f>IF('Форма для заполнения'!B17="","",TRIM(CONCATENATE('Форма для заполнения'!B17," ",'Форма для заполнения'!E17," ",'Форма для заполнения'!F17," ",'Форма для заполнения'!G17)))</f>
        <v/>
      </c>
      <c r="E62" s="266" t="str">
        <f>IFERROR(IF('Форма для заполнения'!B17="","",IF(IFERROR(SEARCH("НДС",'Форма для заполнения'!B17),0),'Форма для заполнения'!M17,'Форма для заполнения'!M17-IFERROR(IF(SEARCH("НДС",'Форма для заполнения'!B18),'Форма для заполнения'!M18,0),0)-IFERROR(IF(AND(SEARCH("НДС",'Форма для заполнения'!B18),SEARCH("НДС",'Форма для заполнения'!B19)),'Форма для заполнения'!M19,0),0))),"")</f>
        <v/>
      </c>
      <c r="F62" s="91"/>
      <c r="G62" s="91"/>
      <c r="H62" s="91"/>
      <c r="I62" s="261">
        <f>IF(E62="0","",'Форма для заполнения'!N17)</f>
        <v>0</v>
      </c>
      <c r="J62" s="264" t="str">
        <f>IF('Форма для заполнения'!O17=0,"",'Форма для заполнения'!O17)</f>
        <v/>
      </c>
    </row>
    <row r="63" spans="1:10" s="87" customFormat="1" x14ac:dyDescent="0.2">
      <c r="A63" s="90">
        <v>13</v>
      </c>
      <c r="B63" s="56" t="str">
        <f>IF('Форма для заполнения'!C18="","",'Форма для заполнения'!C18)</f>
        <v/>
      </c>
      <c r="C63" s="57" t="str">
        <f>IF('Форма для заполнения'!D18="","",'Форма для заполнения'!D18)</f>
        <v/>
      </c>
      <c r="D63" s="57" t="str">
        <f>IF('Форма для заполнения'!B18="","",TRIM(CONCATENATE('Форма для заполнения'!B18," ",'Форма для заполнения'!E18," ",'Форма для заполнения'!F18," ",'Форма для заполнения'!G18)))</f>
        <v/>
      </c>
      <c r="E63" s="266" t="str">
        <f>IFERROR(IF('Форма для заполнения'!B18="","",IF(IFERROR(SEARCH("НДС",'Форма для заполнения'!B18),0),'Форма для заполнения'!M18,'Форма для заполнения'!M18-IFERROR(IF(SEARCH("НДС",'Форма для заполнения'!B19),'Форма для заполнения'!M19,0),0)-IFERROR(IF(AND(SEARCH("НДС",'Форма для заполнения'!B19),SEARCH("НДС",'Форма для заполнения'!B20)),'Форма для заполнения'!M20,0),0))),"")</f>
        <v/>
      </c>
      <c r="F63" s="91"/>
      <c r="G63" s="91"/>
      <c r="H63" s="91"/>
      <c r="I63" s="261">
        <f>IF(E63="0","",'Форма для заполнения'!N18)</f>
        <v>0</v>
      </c>
      <c r="J63" s="264" t="str">
        <f>IF('Форма для заполнения'!O18=0,"",'Форма для заполнения'!O18)</f>
        <v/>
      </c>
    </row>
    <row r="64" spans="1:10" s="87" customFormat="1" x14ac:dyDescent="0.2">
      <c r="A64" s="90">
        <v>14</v>
      </c>
      <c r="B64" s="56" t="str">
        <f>IF('Форма для заполнения'!C19="","",'Форма для заполнения'!C19)</f>
        <v/>
      </c>
      <c r="C64" s="57" t="str">
        <f>IF('Форма для заполнения'!D19="","",'Форма для заполнения'!D19)</f>
        <v/>
      </c>
      <c r="D64" s="57" t="str">
        <f>IF('Форма для заполнения'!B19="","",TRIM(CONCATENATE('Форма для заполнения'!B19," ",'Форма для заполнения'!E19," ",'Форма для заполнения'!F19," ",'Форма для заполнения'!G19)))</f>
        <v/>
      </c>
      <c r="E64" s="266" t="str">
        <f>IFERROR(IF('Форма для заполнения'!B19="","",IF(IFERROR(SEARCH("НДС",'Форма для заполнения'!B19),0),'Форма для заполнения'!M19,'Форма для заполнения'!M19-IFERROR(IF(SEARCH("НДС",'Форма для заполнения'!B20),'Форма для заполнения'!M20,0),0)-IFERROR(IF(AND(SEARCH("НДС",'Форма для заполнения'!B20),SEARCH("НДС",'Форма для заполнения'!B21)),'Форма для заполнения'!M21,0),0))),"")</f>
        <v/>
      </c>
      <c r="F64" s="91"/>
      <c r="G64" s="91"/>
      <c r="H64" s="91"/>
      <c r="I64" s="261">
        <f>IF(E64="0","",'Форма для заполнения'!N19)</f>
        <v>0</v>
      </c>
      <c r="J64" s="264" t="str">
        <f>IF('Форма для заполнения'!O19=0,"",'Форма для заполнения'!O19)</f>
        <v/>
      </c>
    </row>
    <row r="65" spans="1:10" s="87" customFormat="1" x14ac:dyDescent="0.2">
      <c r="A65" s="90">
        <v>15</v>
      </c>
      <c r="B65" s="56" t="str">
        <f>IF('Форма для заполнения'!C20="","",'Форма для заполнения'!C20)</f>
        <v/>
      </c>
      <c r="C65" s="57" t="str">
        <f>IF('Форма для заполнения'!D20="","",'Форма для заполнения'!D20)</f>
        <v/>
      </c>
      <c r="D65" s="57" t="str">
        <f>IF('Форма для заполнения'!B20="","",TRIM(CONCATENATE('Форма для заполнения'!B20," ",'Форма для заполнения'!E20," ",'Форма для заполнения'!F20," ",'Форма для заполнения'!G20)))</f>
        <v/>
      </c>
      <c r="E65" s="266" t="str">
        <f>IFERROR(IF('Форма для заполнения'!B20="","",IF(IFERROR(SEARCH("НДС",'Форма для заполнения'!B20),0),'Форма для заполнения'!M20,'Форма для заполнения'!M20-IFERROR(IF(SEARCH("НДС",'Форма для заполнения'!B21),'Форма для заполнения'!M21,0),0)-IFERROR(IF(AND(SEARCH("НДС",'Форма для заполнения'!B21),SEARCH("НДС",'Форма для заполнения'!B22)),'Форма для заполнения'!M22,0),0))),"")</f>
        <v/>
      </c>
      <c r="F65" s="91"/>
      <c r="G65" s="91"/>
      <c r="H65" s="91"/>
      <c r="I65" s="261">
        <f>IF(E65="0","",'Форма для заполнения'!N20)</f>
        <v>0</v>
      </c>
      <c r="J65" s="264" t="str">
        <f>IF('Форма для заполнения'!O20=0,"",'Форма для заполнения'!O20)</f>
        <v/>
      </c>
    </row>
    <row r="66" spans="1:10" s="87" customFormat="1" x14ac:dyDescent="0.2">
      <c r="A66" s="90">
        <v>16</v>
      </c>
      <c r="B66" s="56" t="str">
        <f>IF('Форма для заполнения'!C21="","",'Форма для заполнения'!C21)</f>
        <v/>
      </c>
      <c r="C66" s="57" t="str">
        <f>IF('Форма для заполнения'!D21="","",'Форма для заполнения'!D21)</f>
        <v/>
      </c>
      <c r="D66" s="57" t="str">
        <f>IF('Форма для заполнения'!B21="","",TRIM(CONCATENATE('Форма для заполнения'!B21," ",'Форма для заполнения'!E21," ",'Форма для заполнения'!F21," ",'Форма для заполнения'!G21)))</f>
        <v/>
      </c>
      <c r="E66" s="266" t="str">
        <f>IFERROR(IF('Форма для заполнения'!B21="","",IF(IFERROR(SEARCH("НДС",'Форма для заполнения'!B21),0),'Форма для заполнения'!M21,'Форма для заполнения'!M21-IFERROR(IF(SEARCH("НДС",'Форма для заполнения'!B22),'Форма для заполнения'!M22,0),0)-IFERROR(IF(AND(SEARCH("НДС",'Форма для заполнения'!B22),SEARCH("НДС",'Форма для заполнения'!B23)),'Форма для заполнения'!M23,0),0))),"")</f>
        <v/>
      </c>
      <c r="F66" s="91"/>
      <c r="G66" s="91"/>
      <c r="H66" s="91"/>
      <c r="I66" s="261">
        <f>IF(E66="0","",'Форма для заполнения'!N21)</f>
        <v>0</v>
      </c>
      <c r="J66" s="264" t="str">
        <f>IF('Форма для заполнения'!O21=0,"",'Форма для заполнения'!O21)</f>
        <v/>
      </c>
    </row>
    <row r="67" spans="1:10" s="87" customFormat="1" x14ac:dyDescent="0.2">
      <c r="A67" s="90">
        <v>17</v>
      </c>
      <c r="B67" s="56" t="str">
        <f>IF('Форма для заполнения'!C22="","",'Форма для заполнения'!C22)</f>
        <v/>
      </c>
      <c r="C67" s="57" t="str">
        <f>IF('Форма для заполнения'!D22="","",'Форма для заполнения'!D22)</f>
        <v/>
      </c>
      <c r="D67" s="57" t="str">
        <f>IF('Форма для заполнения'!B22="","",TRIM(CONCATENATE('Форма для заполнения'!B22," ",'Форма для заполнения'!E22," ",'Форма для заполнения'!F22," ",'Форма для заполнения'!G22)))</f>
        <v/>
      </c>
      <c r="E67" s="266" t="str">
        <f>IFERROR(IF('Форма для заполнения'!B22="","",IF(IFERROR(SEARCH("НДС",'Форма для заполнения'!B22),0),'Форма для заполнения'!M22,'Форма для заполнения'!M22-IFERROR(IF(SEARCH("НДС",'Форма для заполнения'!B23),'Форма для заполнения'!M23,0),0)-IFERROR(IF(AND(SEARCH("НДС",'Форма для заполнения'!B23),SEARCH("НДС",'Форма для заполнения'!B24)),'Форма для заполнения'!M24,0),0))),"")</f>
        <v/>
      </c>
      <c r="F67" s="91"/>
      <c r="G67" s="91"/>
      <c r="H67" s="91"/>
      <c r="I67" s="261">
        <f>IF(E67="0","",'Форма для заполнения'!N22)</f>
        <v>0</v>
      </c>
      <c r="J67" s="264" t="str">
        <f>IF('Форма для заполнения'!O22=0,"",'Форма для заполнения'!O22)</f>
        <v/>
      </c>
    </row>
    <row r="68" spans="1:10" s="87" customFormat="1" x14ac:dyDescent="0.2">
      <c r="A68" s="90">
        <v>18</v>
      </c>
      <c r="B68" s="56" t="str">
        <f>IF('Форма для заполнения'!C23="","",'Форма для заполнения'!C23)</f>
        <v/>
      </c>
      <c r="C68" s="57" t="str">
        <f>IF('Форма для заполнения'!D23="","",'Форма для заполнения'!D23)</f>
        <v/>
      </c>
      <c r="D68" s="57" t="str">
        <f>IF('Форма для заполнения'!B23="","",TRIM(CONCATENATE('Форма для заполнения'!B23," ",'Форма для заполнения'!E23," ",'Форма для заполнения'!F23," ",'Форма для заполнения'!G23)))</f>
        <v/>
      </c>
      <c r="E68" s="266" t="str">
        <f>IFERROR(IF('Форма для заполнения'!B23="","",IF(IFERROR(SEARCH("НДС",'Форма для заполнения'!B23),0),'Форма для заполнения'!M23,'Форма для заполнения'!M23-IFERROR(IF(SEARCH("НДС",'Форма для заполнения'!B24),'Форма для заполнения'!M24,0),0)-IFERROR(IF(AND(SEARCH("НДС",'Форма для заполнения'!B24),SEARCH("НДС",'Форма для заполнения'!B25)),'Форма для заполнения'!M25,0),0))),"")</f>
        <v/>
      </c>
      <c r="F68" s="91"/>
      <c r="G68" s="91"/>
      <c r="H68" s="91"/>
      <c r="I68" s="261">
        <f>IF(E68="0","",'Форма для заполнения'!N23)</f>
        <v>0</v>
      </c>
      <c r="J68" s="264" t="str">
        <f>IF('Форма для заполнения'!O23=0,"",'Форма для заполнения'!O23)</f>
        <v/>
      </c>
    </row>
    <row r="69" spans="1:10" s="87" customFormat="1" x14ac:dyDescent="0.2">
      <c r="A69" s="90">
        <v>19</v>
      </c>
      <c r="B69" s="56" t="str">
        <f>IF('Форма для заполнения'!C24="","",'Форма для заполнения'!C24)</f>
        <v/>
      </c>
      <c r="C69" s="57" t="str">
        <f>IF('Форма для заполнения'!D24="","",'Форма для заполнения'!D24)</f>
        <v/>
      </c>
      <c r="D69" s="57" t="str">
        <f>IF('Форма для заполнения'!B24="","",TRIM(CONCATENATE('Форма для заполнения'!B24," ",'Форма для заполнения'!E24," ",'Форма для заполнения'!F24," ",'Форма для заполнения'!G24)))</f>
        <v/>
      </c>
      <c r="E69" s="266" t="str">
        <f>IFERROR(IF('Форма для заполнения'!B24="","",IF(IFERROR(SEARCH("НДС",'Форма для заполнения'!B24),0),'Форма для заполнения'!M24,'Форма для заполнения'!M24-IFERROR(IF(SEARCH("НДС",'Форма для заполнения'!B25),'Форма для заполнения'!M25,0),0)-IFERROR(IF(AND(SEARCH("НДС",'Форма для заполнения'!B25),SEARCH("НДС",'Форма для заполнения'!B26)),'Форма для заполнения'!M26,0),0))),"")</f>
        <v/>
      </c>
      <c r="F69" s="91"/>
      <c r="G69" s="91"/>
      <c r="H69" s="91"/>
      <c r="I69" s="261">
        <f>IF(E69="0","",'Форма для заполнения'!N24)</f>
        <v>0</v>
      </c>
      <c r="J69" s="264" t="str">
        <f>IF('Форма для заполнения'!O24=0,"",'Форма для заполнения'!O24)</f>
        <v/>
      </c>
    </row>
    <row r="70" spans="1:10" s="87" customFormat="1" x14ac:dyDescent="0.2">
      <c r="A70" s="90">
        <v>20</v>
      </c>
      <c r="B70" s="56" t="str">
        <f>IF('Форма для заполнения'!C25="","",'Форма для заполнения'!C25)</f>
        <v/>
      </c>
      <c r="C70" s="57" t="str">
        <f>IF('Форма для заполнения'!D25="","",'Форма для заполнения'!D25)</f>
        <v/>
      </c>
      <c r="D70" s="57" t="str">
        <f>IF('Форма для заполнения'!B25="","",TRIM(CONCATENATE('Форма для заполнения'!B25," ",'Форма для заполнения'!E25," ",'Форма для заполнения'!F25," ",'Форма для заполнения'!G25)))</f>
        <v/>
      </c>
      <c r="E70" s="266" t="str">
        <f>IFERROR(IF('Форма для заполнения'!B25="","",IF(IFERROR(SEARCH("НДС",'Форма для заполнения'!B25),0),'Форма для заполнения'!M25,'Форма для заполнения'!M25-IFERROR(IF(SEARCH("НДС",'Форма для заполнения'!B26),'Форма для заполнения'!M26,0),0)-IFERROR(IF(AND(SEARCH("НДС",'Форма для заполнения'!B26),SEARCH("НДС",'Форма для заполнения'!B27)),'Форма для заполнения'!M27,0),0))),"")</f>
        <v/>
      </c>
      <c r="F70" s="91"/>
      <c r="G70" s="91"/>
      <c r="H70" s="91"/>
      <c r="I70" s="261">
        <f>IF(E70="0","",'Форма для заполнения'!N25)</f>
        <v>0</v>
      </c>
      <c r="J70" s="264" t="str">
        <f>IF('Форма для заполнения'!O25=0,"",'Форма для заполнения'!O25)</f>
        <v/>
      </c>
    </row>
    <row r="71" spans="1:10" x14ac:dyDescent="0.2">
      <c r="A71" s="92"/>
      <c r="B71" s="92"/>
      <c r="C71" s="92"/>
      <c r="D71" s="93" t="s">
        <v>122</v>
      </c>
      <c r="E71" s="267">
        <f>SUM(E51:E70)</f>
        <v>0</v>
      </c>
      <c r="F71" s="94"/>
      <c r="G71" s="92"/>
      <c r="H71" s="92"/>
      <c r="I71" s="92"/>
      <c r="J71" s="88"/>
    </row>
    <row r="72" spans="1:10" x14ac:dyDescent="0.2">
      <c r="A72" s="88"/>
      <c r="B72" s="88"/>
      <c r="C72" s="88"/>
      <c r="D72" s="88"/>
      <c r="E72" s="88"/>
      <c r="F72" s="88"/>
      <c r="G72" s="88"/>
      <c r="H72" s="88"/>
      <c r="I72" s="88"/>
      <c r="J72" s="88"/>
    </row>
    <row r="73" spans="1:10" x14ac:dyDescent="0.2">
      <c r="A73" s="88" t="s">
        <v>90</v>
      </c>
      <c r="B73" s="88"/>
      <c r="C73" s="95"/>
      <c r="D73" s="95"/>
      <c r="E73" s="88"/>
      <c r="F73" s="419" t="str">
        <f>IF('Форма для заполнения'!D2&lt;&gt;"",'Форма для заполнения'!D2,"")</f>
        <v/>
      </c>
      <c r="G73" s="419"/>
      <c r="H73" s="419"/>
      <c r="I73" s="88"/>
      <c r="J73" s="88"/>
    </row>
    <row r="74" spans="1:10" x14ac:dyDescent="0.2">
      <c r="A74" s="13"/>
      <c r="B74" s="13"/>
      <c r="C74" s="13"/>
      <c r="D74" s="13" t="s">
        <v>82</v>
      </c>
      <c r="E74" s="13"/>
      <c r="F74" s="13"/>
      <c r="G74" s="13" t="s">
        <v>83</v>
      </c>
      <c r="H74" s="13"/>
      <c r="I74" s="13"/>
      <c r="J74" s="81"/>
    </row>
  </sheetData>
  <sheetProtection password="EF17" sheet="1" objects="1" scenarios="1" formatCells="0" formatColumns="0" formatRows="0"/>
  <customSheetViews>
    <customSheetView guid="{0047C449-E5B1-4E19-878D-F58E6F8A4677}" scale="85" showGridLines="0">
      <selection activeCell="S80" sqref="S80:T80"/>
      <rowBreaks count="2" manualBreakCount="2">
        <brk id="60" max="16383" man="1"/>
        <brk id="115" max="16383" man="1"/>
      </rowBreaks>
      <pageMargins left="0.39370078740157483" right="0.39370078740157483" top="0.19685039370078741" bottom="0.19685039370078741" header="0.51181102362204722" footer="0.51181102362204722"/>
      <pageSetup paperSize="9" scale="98" orientation="portrait" r:id="rId2"/>
      <headerFooter alignWithMargins="0"/>
    </customSheetView>
  </customSheetViews>
  <mergeCells count="16">
    <mergeCell ref="F73:H73"/>
    <mergeCell ref="A7:J7"/>
    <mergeCell ref="F11:H11"/>
    <mergeCell ref="A23:C23"/>
    <mergeCell ref="A47:A49"/>
    <mergeCell ref="B47:C48"/>
    <mergeCell ref="D47:D49"/>
    <mergeCell ref="E47:H47"/>
    <mergeCell ref="I47:I49"/>
    <mergeCell ref="E48:F48"/>
    <mergeCell ref="G48:H48"/>
    <mergeCell ref="F34:I35"/>
    <mergeCell ref="H21:J21"/>
    <mergeCell ref="D19:E19"/>
    <mergeCell ref="D20:E20"/>
    <mergeCell ref="D21:E21"/>
  </mergeCells>
  <phoneticPr fontId="8" type="noConversion"/>
  <pageMargins left="0.39370078740157483" right="0.39370078740157483" top="0.19685039370078741" bottom="0.19685039370078741" header="0.51181102362204722" footer="0.51181102362204722"/>
  <pageSetup paperSize="9" scale="75" orientation="portrait" blackAndWhite="1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5" r:id="rId6" name="Button 91">
              <controlPr defaultSize="0" print="0" autoFill="0" autoPict="0" macro="[0]!TAReport_Print">
                <anchor moveWithCells="1">
                  <from>
                    <xdr:col>10</xdr:col>
                    <xdr:colOff>19050</xdr:colOff>
                    <xdr:row>23</xdr:row>
                    <xdr:rowOff>152400</xdr:rowOff>
                  </from>
                  <to>
                    <xdr:col>12</xdr:col>
                    <xdr:colOff>590550</xdr:colOff>
                    <xdr:row>33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R280"/>
  <sheetViews>
    <sheetView zoomScale="70" zoomScaleNormal="70" workbookViewId="0">
      <pane ySplit="1" topLeftCell="A23" activePane="bottomLeft" state="frozen"/>
      <selection activeCell="G1" sqref="G1"/>
      <selection pane="bottomLeft" activeCell="A2" sqref="A2:R271"/>
    </sheetView>
  </sheetViews>
  <sheetFormatPr defaultColWidth="21.7109375" defaultRowHeight="14.25" x14ac:dyDescent="0.2"/>
  <cols>
    <col min="1" max="1" width="19.42578125" style="137" customWidth="1"/>
    <col min="2" max="2" width="13.85546875" style="137" customWidth="1"/>
    <col min="3" max="3" width="8.28515625" style="137" customWidth="1"/>
    <col min="4" max="4" width="23.85546875" style="259" customWidth="1"/>
    <col min="5" max="5" width="31.28515625" style="265" customWidth="1"/>
    <col min="6" max="6" width="9.140625" style="138" customWidth="1"/>
    <col min="7" max="8" width="11.85546875" style="138" customWidth="1"/>
    <col min="9" max="9" width="11.85546875" style="369" customWidth="1"/>
    <col min="10" max="10" width="11.85546875" style="138" customWidth="1"/>
    <col min="11" max="11" width="14.7109375" bestFit="1" customWidth="1"/>
    <col min="12" max="12" width="11.140625" bestFit="1" customWidth="1"/>
    <col min="13" max="13" width="13" customWidth="1"/>
    <col min="14" max="14" width="19.7109375" bestFit="1" customWidth="1"/>
    <col min="15" max="15" width="11.85546875" bestFit="1" customWidth="1"/>
    <col min="16" max="16" width="13.85546875" bestFit="1" customWidth="1"/>
  </cols>
  <sheetData>
    <row r="1" spans="1:18" ht="94.5" x14ac:dyDescent="0.2">
      <c r="A1" s="360" t="s">
        <v>501</v>
      </c>
      <c r="B1" s="360" t="s">
        <v>501</v>
      </c>
      <c r="C1" s="360" t="s">
        <v>502</v>
      </c>
      <c r="D1" s="361" t="s">
        <v>328</v>
      </c>
      <c r="E1" s="362" t="s">
        <v>329</v>
      </c>
      <c r="F1" s="363" t="s">
        <v>506</v>
      </c>
      <c r="G1" s="363" t="s">
        <v>1460</v>
      </c>
      <c r="H1" s="363" t="s">
        <v>552</v>
      </c>
      <c r="I1" s="364" t="s">
        <v>626</v>
      </c>
      <c r="J1" s="363" t="s">
        <v>153</v>
      </c>
      <c r="K1" s="365" t="s">
        <v>1193</v>
      </c>
      <c r="L1" s="366" t="s">
        <v>1171</v>
      </c>
      <c r="M1" s="366" t="s">
        <v>505</v>
      </c>
      <c r="N1" s="366" t="s">
        <v>503</v>
      </c>
      <c r="O1" s="366" t="s">
        <v>504</v>
      </c>
      <c r="P1" s="366" t="s">
        <v>1505</v>
      </c>
      <c r="Q1" s="360" t="s">
        <v>501</v>
      </c>
      <c r="R1" s="360" t="s">
        <v>502</v>
      </c>
    </row>
    <row r="2" spans="1:18" ht="18.600000000000001" customHeight="1" x14ac:dyDescent="0.2">
      <c r="A2" s="388" t="s">
        <v>1907</v>
      </c>
      <c r="B2" s="388" t="s">
        <v>1908</v>
      </c>
      <c r="C2" s="389">
        <v>6040</v>
      </c>
      <c r="D2" s="390" t="s">
        <v>242</v>
      </c>
      <c r="E2" s="391" t="s">
        <v>243</v>
      </c>
      <c r="F2" s="392"/>
      <c r="G2" s="392"/>
      <c r="H2" s="392"/>
      <c r="I2" s="393" t="s">
        <v>1313</v>
      </c>
      <c r="J2" s="392"/>
      <c r="K2" s="341"/>
      <c r="L2" s="341"/>
      <c r="M2" s="341"/>
      <c r="N2" s="341"/>
      <c r="O2" s="341"/>
      <c r="P2" s="341"/>
      <c r="Q2" s="390" t="s">
        <v>1908</v>
      </c>
      <c r="R2" s="390">
        <v>6040</v>
      </c>
    </row>
    <row r="3" spans="1:18" ht="18.75" customHeight="1" x14ac:dyDescent="0.2">
      <c r="A3" s="388" t="s">
        <v>1321</v>
      </c>
      <c r="B3" s="388" t="s">
        <v>1322</v>
      </c>
      <c r="C3" s="389">
        <v>3410</v>
      </c>
      <c r="D3" s="390" t="s">
        <v>1506</v>
      </c>
      <c r="E3" s="391" t="s">
        <v>1324</v>
      </c>
      <c r="F3" s="392" t="s">
        <v>1496</v>
      </c>
      <c r="G3" s="392">
        <v>8126007167</v>
      </c>
      <c r="H3" s="392" t="s">
        <v>1325</v>
      </c>
      <c r="I3" s="393" t="s">
        <v>1326</v>
      </c>
      <c r="J3" s="392"/>
      <c r="K3" s="341"/>
      <c r="L3" s="341"/>
      <c r="M3" s="341"/>
      <c r="N3" s="341"/>
      <c r="O3" s="341"/>
      <c r="P3" s="341" t="s">
        <v>1507</v>
      </c>
      <c r="Q3" s="390" t="s">
        <v>1322</v>
      </c>
      <c r="R3" s="390">
        <v>3410</v>
      </c>
    </row>
    <row r="4" spans="1:18" ht="18.75" customHeight="1" x14ac:dyDescent="0.2">
      <c r="A4" s="388" t="s">
        <v>1497</v>
      </c>
      <c r="B4" s="388" t="s">
        <v>1498</v>
      </c>
      <c r="C4" s="389">
        <v>3010</v>
      </c>
      <c r="D4" s="390" t="s">
        <v>444</v>
      </c>
      <c r="E4" s="391" t="s">
        <v>368</v>
      </c>
      <c r="F4" s="392"/>
      <c r="G4" s="392">
        <v>8126007205</v>
      </c>
      <c r="H4" s="392" t="s">
        <v>1411</v>
      </c>
      <c r="I4" s="393" t="s">
        <v>1276</v>
      </c>
      <c r="J4" s="392"/>
      <c r="K4" s="341"/>
      <c r="L4" s="341"/>
      <c r="M4" s="341"/>
      <c r="N4" s="341"/>
      <c r="O4" s="341"/>
      <c r="P4" s="341" t="s">
        <v>1507</v>
      </c>
      <c r="Q4" s="390" t="s">
        <v>1498</v>
      </c>
      <c r="R4" s="390">
        <v>3010</v>
      </c>
    </row>
    <row r="5" spans="1:18" ht="18.399999999999999" customHeight="1" x14ac:dyDescent="0.2">
      <c r="A5" s="388" t="s">
        <v>1508</v>
      </c>
      <c r="B5" s="388" t="s">
        <v>1509</v>
      </c>
      <c r="C5" s="389">
        <v>3460</v>
      </c>
      <c r="D5" s="390" t="s">
        <v>1506</v>
      </c>
      <c r="E5" s="391" t="s">
        <v>1510</v>
      </c>
      <c r="F5" s="392"/>
      <c r="G5" s="392">
        <v>0</v>
      </c>
      <c r="H5" s="392" t="s">
        <v>1511</v>
      </c>
      <c r="I5" s="393" t="s">
        <v>1326</v>
      </c>
      <c r="J5" s="392"/>
      <c r="K5" s="341"/>
      <c r="L5" s="341" t="s">
        <v>1172</v>
      </c>
      <c r="M5" s="341" t="s">
        <v>648</v>
      </c>
      <c r="N5" s="341" t="s">
        <v>647</v>
      </c>
      <c r="O5" s="341">
        <v>1005977709</v>
      </c>
      <c r="P5" s="341" t="s">
        <v>1507</v>
      </c>
      <c r="Q5" s="390" t="s">
        <v>1509</v>
      </c>
      <c r="R5" s="390">
        <v>3460</v>
      </c>
    </row>
    <row r="6" spans="1:18" ht="18.399999999999999" customHeight="1" x14ac:dyDescent="0.2">
      <c r="A6" s="388" t="s">
        <v>977</v>
      </c>
      <c r="B6" s="388" t="s">
        <v>156</v>
      </c>
      <c r="C6" s="389">
        <v>6020</v>
      </c>
      <c r="D6" s="390" t="s">
        <v>459</v>
      </c>
      <c r="E6" s="391" t="s">
        <v>12</v>
      </c>
      <c r="F6" s="392"/>
      <c r="G6" s="392">
        <v>8126007079</v>
      </c>
      <c r="H6" s="392" t="s">
        <v>690</v>
      </c>
      <c r="I6" s="393" t="s">
        <v>609</v>
      </c>
      <c r="J6" s="392"/>
      <c r="K6" s="341" t="s">
        <v>690</v>
      </c>
      <c r="L6" s="341"/>
      <c r="M6" s="341"/>
      <c r="N6" s="341"/>
      <c r="O6" s="341"/>
      <c r="P6" s="341"/>
      <c r="Q6" s="390" t="s">
        <v>156</v>
      </c>
      <c r="R6" s="390">
        <v>6020</v>
      </c>
    </row>
    <row r="7" spans="1:18" ht="18.399999999999999" customHeight="1" x14ac:dyDescent="0.2">
      <c r="A7" s="388" t="s">
        <v>978</v>
      </c>
      <c r="B7" s="388" t="s">
        <v>158</v>
      </c>
      <c r="C7" s="389">
        <v>3000</v>
      </c>
      <c r="D7" s="390" t="s">
        <v>1328</v>
      </c>
      <c r="E7" s="391" t="s">
        <v>1329</v>
      </c>
      <c r="F7" s="392" t="s">
        <v>507</v>
      </c>
      <c r="G7" s="392">
        <v>8126006587</v>
      </c>
      <c r="H7" s="392" t="s">
        <v>691</v>
      </c>
      <c r="I7" s="393" t="s">
        <v>1313</v>
      </c>
      <c r="J7" s="392"/>
      <c r="K7" s="341" t="s">
        <v>691</v>
      </c>
      <c r="L7" s="341" t="s">
        <v>1273</v>
      </c>
      <c r="M7" s="341" t="s">
        <v>960</v>
      </c>
      <c r="N7" s="341" t="s">
        <v>959</v>
      </c>
      <c r="O7" s="341">
        <v>1005977742</v>
      </c>
      <c r="P7" s="341" t="s">
        <v>1507</v>
      </c>
      <c r="Q7" s="390" t="s">
        <v>158</v>
      </c>
      <c r="R7" s="390">
        <v>3000</v>
      </c>
    </row>
    <row r="8" spans="1:18" x14ac:dyDescent="0.2">
      <c r="A8" s="388" t="s">
        <v>1547</v>
      </c>
      <c r="B8" s="388" t="s">
        <v>1548</v>
      </c>
      <c r="C8" s="389">
        <v>3460</v>
      </c>
      <c r="D8" s="390" t="s">
        <v>1506</v>
      </c>
      <c r="E8" s="391" t="s">
        <v>1510</v>
      </c>
      <c r="F8" s="392"/>
      <c r="G8" s="392"/>
      <c r="H8" s="392" t="s">
        <v>1549</v>
      </c>
      <c r="I8" s="393" t="s">
        <v>1326</v>
      </c>
      <c r="J8" s="392"/>
      <c r="K8" s="341"/>
      <c r="L8" s="341" t="s">
        <v>1550</v>
      </c>
      <c r="M8" s="341" t="s">
        <v>1551</v>
      </c>
      <c r="N8" s="341" t="s">
        <v>1552</v>
      </c>
      <c r="O8" s="341" t="s">
        <v>1909</v>
      </c>
      <c r="P8" s="341" t="s">
        <v>1507</v>
      </c>
      <c r="Q8" s="390" t="s">
        <v>1548</v>
      </c>
      <c r="R8" s="390">
        <v>3460</v>
      </c>
    </row>
    <row r="9" spans="1:18" ht="18.75" customHeight="1" x14ac:dyDescent="0.2">
      <c r="A9" s="388" t="s">
        <v>979</v>
      </c>
      <c r="B9" s="388" t="s">
        <v>159</v>
      </c>
      <c r="C9" s="389">
        <v>3078</v>
      </c>
      <c r="D9" s="390" t="s">
        <v>443</v>
      </c>
      <c r="E9" s="391" t="s">
        <v>367</v>
      </c>
      <c r="F9" s="392"/>
      <c r="G9" s="392">
        <v>8126006298</v>
      </c>
      <c r="H9" s="392" t="s">
        <v>767</v>
      </c>
      <c r="I9" s="393" t="s">
        <v>611</v>
      </c>
      <c r="J9" s="392"/>
      <c r="K9" s="341"/>
      <c r="L9" s="341" t="s">
        <v>1874</v>
      </c>
      <c r="M9" s="341" t="s">
        <v>1875</v>
      </c>
      <c r="N9" s="341" t="s">
        <v>1876</v>
      </c>
      <c r="O9" s="341">
        <v>1005611174</v>
      </c>
      <c r="P9" s="341" t="s">
        <v>1507</v>
      </c>
      <c r="Q9" s="390" t="s">
        <v>159</v>
      </c>
      <c r="R9" s="390">
        <v>3078</v>
      </c>
    </row>
    <row r="10" spans="1:18" ht="18.75" customHeight="1" x14ac:dyDescent="0.2">
      <c r="A10" s="388" t="s">
        <v>980</v>
      </c>
      <c r="B10" s="388" t="s">
        <v>1499</v>
      </c>
      <c r="C10" s="389">
        <v>4000</v>
      </c>
      <c r="D10" s="390" t="s">
        <v>1331</v>
      </c>
      <c r="E10" s="391" t="s">
        <v>1553</v>
      </c>
      <c r="F10" s="392"/>
      <c r="G10" s="392">
        <v>8126007188</v>
      </c>
      <c r="H10" s="392" t="s">
        <v>768</v>
      </c>
      <c r="I10" s="393" t="s">
        <v>610</v>
      </c>
      <c r="J10" s="392"/>
      <c r="K10" s="341"/>
      <c r="L10" s="341"/>
      <c r="M10" s="341"/>
      <c r="N10" s="341"/>
      <c r="O10" s="341"/>
      <c r="P10" s="341"/>
      <c r="Q10" s="390" t="s">
        <v>1499</v>
      </c>
      <c r="R10" s="390">
        <v>4000</v>
      </c>
    </row>
    <row r="11" spans="1:18" ht="18.75" customHeight="1" x14ac:dyDescent="0.2">
      <c r="A11" s="388" t="s">
        <v>1512</v>
      </c>
      <c r="B11" s="388" t="s">
        <v>1513</v>
      </c>
      <c r="C11" s="389">
        <v>3070</v>
      </c>
      <c r="D11" s="390" t="s">
        <v>443</v>
      </c>
      <c r="E11" s="391" t="s">
        <v>374</v>
      </c>
      <c r="F11" s="392"/>
      <c r="G11" s="392">
        <v>8126007195</v>
      </c>
      <c r="H11" s="392" t="s">
        <v>1554</v>
      </c>
      <c r="I11" s="393" t="s">
        <v>615</v>
      </c>
      <c r="J11" s="392"/>
      <c r="K11" s="341"/>
      <c r="L11" s="341" t="s">
        <v>1600</v>
      </c>
      <c r="M11" s="341" t="s">
        <v>1601</v>
      </c>
      <c r="N11" s="341" t="s">
        <v>1602</v>
      </c>
      <c r="O11" s="341">
        <v>1005977699</v>
      </c>
      <c r="P11" s="341" t="s">
        <v>1507</v>
      </c>
      <c r="Q11" s="390" t="s">
        <v>1513</v>
      </c>
      <c r="R11" s="390">
        <v>3070</v>
      </c>
    </row>
    <row r="12" spans="1:18" ht="18.75" customHeight="1" x14ac:dyDescent="0.2">
      <c r="A12" s="388" t="s">
        <v>981</v>
      </c>
      <c r="B12" s="388" t="s">
        <v>160</v>
      </c>
      <c r="C12" s="389">
        <v>3010</v>
      </c>
      <c r="D12" s="390" t="s">
        <v>444</v>
      </c>
      <c r="E12" s="391" t="s">
        <v>659</v>
      </c>
      <c r="F12" s="392" t="s">
        <v>508</v>
      </c>
      <c r="G12" s="392">
        <v>8126006465</v>
      </c>
      <c r="H12" s="392" t="s">
        <v>769</v>
      </c>
      <c r="I12" s="393" t="s">
        <v>1276</v>
      </c>
      <c r="J12" s="392"/>
      <c r="K12" s="341" t="s">
        <v>692</v>
      </c>
      <c r="L12" s="341"/>
      <c r="M12" s="341"/>
      <c r="N12" s="341"/>
      <c r="O12" s="341"/>
      <c r="P12" s="341" t="s">
        <v>1507</v>
      </c>
      <c r="Q12" s="390" t="s">
        <v>160</v>
      </c>
      <c r="R12" s="390">
        <v>3010</v>
      </c>
    </row>
    <row r="13" spans="1:18" ht="18.75" customHeight="1" x14ac:dyDescent="0.2">
      <c r="A13" s="388" t="s">
        <v>982</v>
      </c>
      <c r="B13" s="388" t="s">
        <v>633</v>
      </c>
      <c r="C13" s="389">
        <v>3070</v>
      </c>
      <c r="D13" s="390" t="s">
        <v>443</v>
      </c>
      <c r="E13" s="391" t="s">
        <v>660</v>
      </c>
      <c r="F13" s="392"/>
      <c r="G13" s="392">
        <v>8126007091</v>
      </c>
      <c r="H13" s="392" t="s">
        <v>770</v>
      </c>
      <c r="I13" s="393" t="s">
        <v>615</v>
      </c>
      <c r="J13" s="392"/>
      <c r="K13" s="341" t="s">
        <v>310</v>
      </c>
      <c r="L13" s="341" t="s">
        <v>1274</v>
      </c>
      <c r="M13" s="341" t="s">
        <v>635</v>
      </c>
      <c r="N13" s="341" t="s">
        <v>634</v>
      </c>
      <c r="O13" s="341">
        <v>1005977766</v>
      </c>
      <c r="P13" s="341" t="s">
        <v>1507</v>
      </c>
      <c r="Q13" s="390" t="s">
        <v>633</v>
      </c>
      <c r="R13" s="390">
        <v>3070</v>
      </c>
    </row>
    <row r="14" spans="1:18" ht="18.75" customHeight="1" x14ac:dyDescent="0.2">
      <c r="A14" s="388" t="s">
        <v>983</v>
      </c>
      <c r="B14" s="388" t="s">
        <v>161</v>
      </c>
      <c r="C14" s="389">
        <v>3070</v>
      </c>
      <c r="D14" s="390" t="s">
        <v>443</v>
      </c>
      <c r="E14" s="391" t="s">
        <v>369</v>
      </c>
      <c r="F14" s="392"/>
      <c r="G14" s="392">
        <v>8126007009</v>
      </c>
      <c r="H14" s="392" t="s">
        <v>771</v>
      </c>
      <c r="I14" s="393" t="s">
        <v>615</v>
      </c>
      <c r="J14" s="392"/>
      <c r="K14" s="341" t="s">
        <v>310</v>
      </c>
      <c r="L14" s="341" t="s">
        <v>1684</v>
      </c>
      <c r="M14" s="341" t="s">
        <v>1685</v>
      </c>
      <c r="N14" s="341" t="s">
        <v>1686</v>
      </c>
      <c r="O14" s="341">
        <v>1005611182</v>
      </c>
      <c r="P14" s="341" t="s">
        <v>1507</v>
      </c>
      <c r="Q14" s="390" t="s">
        <v>161</v>
      </c>
      <c r="R14" s="390">
        <v>3070</v>
      </c>
    </row>
    <row r="15" spans="1:18" ht="18.75" customHeight="1" x14ac:dyDescent="0.2">
      <c r="A15" s="388" t="s">
        <v>1555</v>
      </c>
      <c r="B15" s="388" t="s">
        <v>1556</v>
      </c>
      <c r="C15" s="389">
        <v>6010</v>
      </c>
      <c r="D15" s="390" t="s">
        <v>454</v>
      </c>
      <c r="E15" s="391" t="s">
        <v>1557</v>
      </c>
      <c r="F15" s="392"/>
      <c r="G15" s="392"/>
      <c r="H15" s="392" t="s">
        <v>1558</v>
      </c>
      <c r="I15" s="393" t="s">
        <v>1313</v>
      </c>
      <c r="J15" s="392"/>
      <c r="K15" s="341"/>
      <c r="L15" s="341"/>
      <c r="M15" s="341"/>
      <c r="N15" s="341"/>
      <c r="O15" s="341"/>
      <c r="P15" s="341"/>
      <c r="Q15" s="390" t="s">
        <v>1556</v>
      </c>
      <c r="R15" s="390">
        <v>6010</v>
      </c>
    </row>
    <row r="16" spans="1:18" ht="18.75" customHeight="1" x14ac:dyDescent="0.2">
      <c r="A16" s="388" t="s">
        <v>984</v>
      </c>
      <c r="B16" s="388" t="s">
        <v>333</v>
      </c>
      <c r="C16" s="389">
        <v>3078</v>
      </c>
      <c r="D16" s="390" t="s">
        <v>443</v>
      </c>
      <c r="E16" s="391" t="s">
        <v>370</v>
      </c>
      <c r="F16" s="392"/>
      <c r="G16" s="392">
        <v>8126006611</v>
      </c>
      <c r="H16" s="392" t="s">
        <v>772</v>
      </c>
      <c r="I16" s="393" t="s">
        <v>611</v>
      </c>
      <c r="J16" s="392"/>
      <c r="K16" s="341" t="s">
        <v>310</v>
      </c>
      <c r="L16" s="341" t="s">
        <v>1910</v>
      </c>
      <c r="M16" s="341" t="s">
        <v>1911</v>
      </c>
      <c r="N16" s="341" t="s">
        <v>1912</v>
      </c>
      <c r="O16" s="341">
        <v>1005977690</v>
      </c>
      <c r="P16" s="341" t="s">
        <v>1507</v>
      </c>
      <c r="Q16" s="390" t="s">
        <v>333</v>
      </c>
      <c r="R16" s="390">
        <v>3078</v>
      </c>
    </row>
    <row r="17" spans="1:18" ht="18.75" customHeight="1" x14ac:dyDescent="0.2">
      <c r="A17" s="388" t="s">
        <v>1603</v>
      </c>
      <c r="B17" s="388" t="s">
        <v>1604</v>
      </c>
      <c r="C17" s="389">
        <v>3072</v>
      </c>
      <c r="D17" s="390" t="s">
        <v>443</v>
      </c>
      <c r="E17" s="391" t="s">
        <v>377</v>
      </c>
      <c r="F17" s="392"/>
      <c r="G17" s="392">
        <v>8126007194</v>
      </c>
      <c r="H17" s="392" t="s">
        <v>1605</v>
      </c>
      <c r="I17" s="393" t="s">
        <v>766</v>
      </c>
      <c r="J17" s="392"/>
      <c r="K17" s="341"/>
      <c r="L17" s="341" t="s">
        <v>1877</v>
      </c>
      <c r="M17" s="341" t="s">
        <v>1878</v>
      </c>
      <c r="N17" s="341" t="s">
        <v>1879</v>
      </c>
      <c r="O17" s="341">
        <v>1005611156</v>
      </c>
      <c r="P17" s="341" t="s">
        <v>1507</v>
      </c>
      <c r="Q17" s="390" t="s">
        <v>1604</v>
      </c>
      <c r="R17" s="390">
        <v>3072</v>
      </c>
    </row>
    <row r="18" spans="1:18" ht="18.75" customHeight="1" x14ac:dyDescent="0.2">
      <c r="A18" s="388" t="s">
        <v>985</v>
      </c>
      <c r="B18" s="388" t="s">
        <v>640</v>
      </c>
      <c r="C18" s="389">
        <v>3000</v>
      </c>
      <c r="D18" s="390" t="s">
        <v>443</v>
      </c>
      <c r="E18" s="391" t="s">
        <v>641</v>
      </c>
      <c r="F18" s="392" t="s">
        <v>1174</v>
      </c>
      <c r="G18" s="392">
        <v>8126007102</v>
      </c>
      <c r="H18" s="392" t="s">
        <v>642</v>
      </c>
      <c r="I18" s="393" t="s">
        <v>1276</v>
      </c>
      <c r="J18" s="392"/>
      <c r="K18" s="341" t="s">
        <v>693</v>
      </c>
      <c r="L18" s="341" t="s">
        <v>1277</v>
      </c>
      <c r="M18" s="341" t="s">
        <v>662</v>
      </c>
      <c r="N18" s="341" t="s">
        <v>661</v>
      </c>
      <c r="O18" s="341" t="s">
        <v>1913</v>
      </c>
      <c r="P18" s="341" t="s">
        <v>1507</v>
      </c>
      <c r="Q18" s="390" t="s">
        <v>640</v>
      </c>
      <c r="R18" s="390">
        <v>3000</v>
      </c>
    </row>
    <row r="19" spans="1:18" ht="18.75" customHeight="1" x14ac:dyDescent="0.2">
      <c r="A19" s="388" t="s">
        <v>1880</v>
      </c>
      <c r="B19" s="388" t="s">
        <v>1881</v>
      </c>
      <c r="C19" s="389">
        <v>3078</v>
      </c>
      <c r="D19" s="390" t="s">
        <v>443</v>
      </c>
      <c r="E19" s="391" t="s">
        <v>1882</v>
      </c>
      <c r="F19" s="392"/>
      <c r="G19" s="392"/>
      <c r="H19" s="392"/>
      <c r="I19" s="393" t="s">
        <v>611</v>
      </c>
      <c r="J19" s="392"/>
      <c r="K19" s="341"/>
      <c r="L19" s="341" t="s">
        <v>1914</v>
      </c>
      <c r="M19" s="341" t="s">
        <v>1915</v>
      </c>
      <c r="N19" s="341" t="s">
        <v>1916</v>
      </c>
      <c r="O19" s="341">
        <v>1005977712</v>
      </c>
      <c r="P19" s="341" t="s">
        <v>1507</v>
      </c>
      <c r="Q19" s="390" t="s">
        <v>1881</v>
      </c>
      <c r="R19" s="390">
        <v>3078</v>
      </c>
    </row>
    <row r="20" spans="1:18" ht="18.75" customHeight="1" x14ac:dyDescent="0.2">
      <c r="A20" s="388" t="s">
        <v>986</v>
      </c>
      <c r="B20" s="388" t="s">
        <v>162</v>
      </c>
      <c r="C20" s="389">
        <v>2060</v>
      </c>
      <c r="D20" s="390" t="s">
        <v>447</v>
      </c>
      <c r="E20" s="391" t="s">
        <v>410</v>
      </c>
      <c r="F20" s="392"/>
      <c r="G20" s="392">
        <v>8126006557</v>
      </c>
      <c r="H20" s="392" t="s">
        <v>773</v>
      </c>
      <c r="I20" s="393" t="s">
        <v>765</v>
      </c>
      <c r="J20" s="392"/>
      <c r="K20" s="341" t="s">
        <v>694</v>
      </c>
      <c r="L20" s="341"/>
      <c r="M20" s="341"/>
      <c r="N20" s="341"/>
      <c r="O20" s="341"/>
      <c r="P20" s="341"/>
      <c r="Q20" s="390" t="s">
        <v>162</v>
      </c>
      <c r="R20" s="390">
        <v>2060</v>
      </c>
    </row>
    <row r="21" spans="1:18" ht="18.75" customHeight="1" x14ac:dyDescent="0.2">
      <c r="A21" s="388" t="s">
        <v>987</v>
      </c>
      <c r="B21" s="388" t="s">
        <v>682</v>
      </c>
      <c r="C21" s="389">
        <v>3072</v>
      </c>
      <c r="D21" s="390" t="s">
        <v>443</v>
      </c>
      <c r="E21" s="391" t="s">
        <v>388</v>
      </c>
      <c r="F21" s="392"/>
      <c r="G21" s="392">
        <v>8126007116</v>
      </c>
      <c r="H21" s="392" t="s">
        <v>774</v>
      </c>
      <c r="I21" s="393" t="s">
        <v>766</v>
      </c>
      <c r="J21" s="392"/>
      <c r="K21" s="341"/>
      <c r="L21" s="341" t="s">
        <v>1278</v>
      </c>
      <c r="M21" s="341" t="s">
        <v>933</v>
      </c>
      <c r="N21" s="341" t="s">
        <v>932</v>
      </c>
      <c r="O21" s="341" t="s">
        <v>1483</v>
      </c>
      <c r="P21" s="341" t="s">
        <v>1507</v>
      </c>
      <c r="Q21" s="390" t="s">
        <v>682</v>
      </c>
      <c r="R21" s="390">
        <v>3072</v>
      </c>
    </row>
    <row r="22" spans="1:18" ht="18.75" customHeight="1" x14ac:dyDescent="0.2">
      <c r="A22" s="354" t="s">
        <v>988</v>
      </c>
      <c r="B22" s="354" t="s">
        <v>163</v>
      </c>
      <c r="C22" s="354">
        <v>2560</v>
      </c>
      <c r="D22" s="394" t="s">
        <v>448</v>
      </c>
      <c r="E22" s="377" t="s">
        <v>251</v>
      </c>
      <c r="F22" s="355"/>
      <c r="G22" s="355">
        <v>8126001104</v>
      </c>
      <c r="H22" s="359" t="s">
        <v>775</v>
      </c>
      <c r="I22" s="359" t="s">
        <v>765</v>
      </c>
      <c r="J22" s="356"/>
      <c r="K22" s="357" t="s">
        <v>695</v>
      </c>
      <c r="L22" s="357"/>
      <c r="M22" s="357"/>
      <c r="N22" s="358"/>
      <c r="O22" s="359"/>
      <c r="P22" s="383"/>
      <c r="Q22" s="354" t="s">
        <v>163</v>
      </c>
      <c r="R22" s="354">
        <v>2560</v>
      </c>
    </row>
    <row r="23" spans="1:18" ht="18.75" customHeight="1" x14ac:dyDescent="0.2">
      <c r="A23" s="354" t="s">
        <v>989</v>
      </c>
      <c r="B23" s="354" t="s">
        <v>627</v>
      </c>
      <c r="C23" s="354">
        <v>3078</v>
      </c>
      <c r="D23" s="394" t="s">
        <v>443</v>
      </c>
      <c r="E23" s="377" t="s">
        <v>383</v>
      </c>
      <c r="F23" s="355"/>
      <c r="G23" s="355">
        <v>8126007084</v>
      </c>
      <c r="H23" s="359" t="s">
        <v>776</v>
      </c>
      <c r="I23" s="359" t="s">
        <v>611</v>
      </c>
      <c r="J23" s="356"/>
      <c r="K23" s="357" t="s">
        <v>310</v>
      </c>
      <c r="L23" s="357"/>
      <c r="M23" s="357"/>
      <c r="N23" s="358"/>
      <c r="O23" s="359"/>
      <c r="P23" s="383" t="s">
        <v>1507</v>
      </c>
      <c r="Q23" s="354" t="s">
        <v>627</v>
      </c>
      <c r="R23" s="354">
        <v>3078</v>
      </c>
    </row>
    <row r="24" spans="1:18" ht="18.75" customHeight="1" x14ac:dyDescent="0.2">
      <c r="A24" s="388" t="s">
        <v>1514</v>
      </c>
      <c r="B24" s="388" t="s">
        <v>1515</v>
      </c>
      <c r="C24" s="389">
        <v>4000</v>
      </c>
      <c r="D24" s="390" t="s">
        <v>1339</v>
      </c>
      <c r="E24" s="391" t="s">
        <v>250</v>
      </c>
      <c r="F24" s="392"/>
      <c r="G24" s="392">
        <v>8126007198</v>
      </c>
      <c r="H24" s="392" t="s">
        <v>1516</v>
      </c>
      <c r="I24" s="393" t="s">
        <v>610</v>
      </c>
      <c r="J24" s="392"/>
      <c r="K24" s="341"/>
      <c r="L24" s="341"/>
      <c r="M24" s="341"/>
      <c r="N24" s="341"/>
      <c r="O24" s="341"/>
      <c r="P24" s="341"/>
      <c r="Q24" s="390" t="s">
        <v>1515</v>
      </c>
      <c r="R24" s="390">
        <v>4000</v>
      </c>
    </row>
    <row r="25" spans="1:18" ht="18.75" customHeight="1" x14ac:dyDescent="0.2">
      <c r="A25" s="388" t="s">
        <v>990</v>
      </c>
      <c r="B25" s="388" t="s">
        <v>683</v>
      </c>
      <c r="C25" s="389">
        <v>3030</v>
      </c>
      <c r="D25" s="390" t="s">
        <v>1330</v>
      </c>
      <c r="E25" s="391" t="s">
        <v>1332</v>
      </c>
      <c r="F25" s="392" t="s">
        <v>1175</v>
      </c>
      <c r="G25" s="392">
        <v>8126006455</v>
      </c>
      <c r="H25" s="392" t="s">
        <v>777</v>
      </c>
      <c r="I25" s="393" t="s">
        <v>877</v>
      </c>
      <c r="J25" s="392"/>
      <c r="K25" s="341" t="s">
        <v>696</v>
      </c>
      <c r="L25" s="341" t="s">
        <v>1279</v>
      </c>
      <c r="M25" s="341" t="s">
        <v>750</v>
      </c>
      <c r="N25" s="341" t="s">
        <v>749</v>
      </c>
      <c r="O25" s="341">
        <v>1005977775</v>
      </c>
      <c r="P25" s="341" t="s">
        <v>1507</v>
      </c>
      <c r="Q25" s="390" t="s">
        <v>683</v>
      </c>
      <c r="R25" s="390">
        <v>3030</v>
      </c>
    </row>
    <row r="26" spans="1:18" ht="18.75" customHeight="1" x14ac:dyDescent="0.2">
      <c r="A26" s="388" t="s">
        <v>991</v>
      </c>
      <c r="B26" s="388" t="s">
        <v>971</v>
      </c>
      <c r="C26" s="389">
        <v>2020</v>
      </c>
      <c r="D26" s="390" t="s">
        <v>1333</v>
      </c>
      <c r="E26" s="391" t="s">
        <v>1334</v>
      </c>
      <c r="F26" s="392" t="s">
        <v>1176</v>
      </c>
      <c r="G26" s="392">
        <v>8126007136</v>
      </c>
      <c r="H26" s="392" t="s">
        <v>925</v>
      </c>
      <c r="I26" s="393" t="s">
        <v>765</v>
      </c>
      <c r="J26" s="392"/>
      <c r="K26" s="341"/>
      <c r="L26" s="341" t="s">
        <v>1690</v>
      </c>
      <c r="M26" s="341" t="s">
        <v>1691</v>
      </c>
      <c r="N26" s="341" t="s">
        <v>1692</v>
      </c>
      <c r="O26" s="341">
        <v>1005611143</v>
      </c>
      <c r="P26" s="341" t="s">
        <v>1507</v>
      </c>
      <c r="Q26" s="390" t="s">
        <v>971</v>
      </c>
      <c r="R26" s="390">
        <v>2020</v>
      </c>
    </row>
    <row r="27" spans="1:18" ht="18.75" customHeight="1" x14ac:dyDescent="0.2">
      <c r="A27" s="388" t="s">
        <v>1484</v>
      </c>
      <c r="B27" s="388" t="s">
        <v>1485</v>
      </c>
      <c r="C27" s="389">
        <v>3030</v>
      </c>
      <c r="D27" s="390" t="s">
        <v>445</v>
      </c>
      <c r="E27" s="391" t="s">
        <v>173</v>
      </c>
      <c r="F27" s="392"/>
      <c r="G27" s="392">
        <v>0</v>
      </c>
      <c r="H27" s="392" t="s">
        <v>1486</v>
      </c>
      <c r="I27" s="393" t="s">
        <v>877</v>
      </c>
      <c r="J27" s="392"/>
      <c r="K27" s="341"/>
      <c r="L27" s="341"/>
      <c r="M27" s="341"/>
      <c r="N27" s="341"/>
      <c r="O27" s="341"/>
      <c r="P27" s="341"/>
      <c r="Q27" s="390" t="s">
        <v>1485</v>
      </c>
      <c r="R27" s="390">
        <v>3030</v>
      </c>
    </row>
    <row r="28" spans="1:18" ht="18.75" customHeight="1" x14ac:dyDescent="0.2">
      <c r="A28" s="388" t="s">
        <v>992</v>
      </c>
      <c r="B28" s="388" t="s">
        <v>334</v>
      </c>
      <c r="C28" s="389">
        <v>3078</v>
      </c>
      <c r="D28" s="390" t="s">
        <v>443</v>
      </c>
      <c r="E28" s="391" t="s">
        <v>249</v>
      </c>
      <c r="F28" s="392" t="s">
        <v>1280</v>
      </c>
      <c r="G28" s="392">
        <v>8126006043</v>
      </c>
      <c r="H28" s="392" t="s">
        <v>611</v>
      </c>
      <c r="I28" s="393" t="s">
        <v>642</v>
      </c>
      <c r="J28" s="392"/>
      <c r="K28" s="341" t="s">
        <v>697</v>
      </c>
      <c r="L28" s="341" t="s">
        <v>1232</v>
      </c>
      <c r="M28" s="341" t="s">
        <v>475</v>
      </c>
      <c r="N28" s="341" t="s">
        <v>510</v>
      </c>
      <c r="O28" s="341">
        <v>1005977767</v>
      </c>
      <c r="P28" s="341" t="s">
        <v>1507</v>
      </c>
      <c r="Q28" s="390" t="s">
        <v>334</v>
      </c>
      <c r="R28" s="390">
        <v>3078</v>
      </c>
    </row>
    <row r="29" spans="1:18" ht="18.75" customHeight="1" x14ac:dyDescent="0.2">
      <c r="A29" s="388" t="s">
        <v>1336</v>
      </c>
      <c r="B29" s="388" t="s">
        <v>1194</v>
      </c>
      <c r="C29" s="389">
        <v>3073</v>
      </c>
      <c r="D29" s="390" t="s">
        <v>443</v>
      </c>
      <c r="E29" s="391" t="s">
        <v>1337</v>
      </c>
      <c r="F29" s="392" t="s">
        <v>1281</v>
      </c>
      <c r="G29" s="392">
        <v>8126007128</v>
      </c>
      <c r="H29" s="392" t="s">
        <v>935</v>
      </c>
      <c r="I29" s="393" t="s">
        <v>642</v>
      </c>
      <c r="J29" s="392"/>
      <c r="K29" s="341" t="s">
        <v>310</v>
      </c>
      <c r="L29" s="341" t="s">
        <v>1233</v>
      </c>
      <c r="M29" s="341" t="s">
        <v>934</v>
      </c>
      <c r="N29" s="341" t="s">
        <v>1606</v>
      </c>
      <c r="O29" s="341" t="s">
        <v>1487</v>
      </c>
      <c r="P29" s="341" t="s">
        <v>1507</v>
      </c>
      <c r="Q29" s="390" t="s">
        <v>1194</v>
      </c>
      <c r="R29" s="390">
        <v>3073</v>
      </c>
    </row>
    <row r="30" spans="1:18" ht="18.75" customHeight="1" x14ac:dyDescent="0.2">
      <c r="A30" s="388" t="s">
        <v>993</v>
      </c>
      <c r="B30" s="388" t="s">
        <v>164</v>
      </c>
      <c r="C30" s="389">
        <v>2560</v>
      </c>
      <c r="D30" s="390" t="s">
        <v>448</v>
      </c>
      <c r="E30" s="391" t="s">
        <v>372</v>
      </c>
      <c r="F30" s="392"/>
      <c r="G30" s="392">
        <v>0</v>
      </c>
      <c r="H30" s="392" t="s">
        <v>778</v>
      </c>
      <c r="I30" s="393" t="s">
        <v>765</v>
      </c>
      <c r="J30" s="392"/>
      <c r="K30" s="341" t="s">
        <v>698</v>
      </c>
      <c r="L30" s="341"/>
      <c r="M30" s="341"/>
      <c r="N30" s="341"/>
      <c r="O30" s="341"/>
      <c r="P30" s="341"/>
      <c r="Q30" s="390" t="s">
        <v>164</v>
      </c>
      <c r="R30" s="390">
        <v>2560</v>
      </c>
    </row>
    <row r="31" spans="1:18" ht="18.75" customHeight="1" x14ac:dyDescent="0.2">
      <c r="A31" s="388" t="s">
        <v>994</v>
      </c>
      <c r="B31" s="388" t="s">
        <v>165</v>
      </c>
      <c r="C31" s="389">
        <v>2020</v>
      </c>
      <c r="D31" s="390" t="s">
        <v>448</v>
      </c>
      <c r="E31" s="391" t="s">
        <v>373</v>
      </c>
      <c r="F31" s="392"/>
      <c r="G31" s="392">
        <v>0</v>
      </c>
      <c r="H31" s="392" t="s">
        <v>779</v>
      </c>
      <c r="I31" s="393" t="s">
        <v>765</v>
      </c>
      <c r="J31" s="392"/>
      <c r="K31" s="341" t="s">
        <v>699</v>
      </c>
      <c r="L31" s="341"/>
      <c r="M31" s="341"/>
      <c r="N31" s="341"/>
      <c r="O31" s="341"/>
      <c r="P31" s="341"/>
      <c r="Q31" s="390" t="s">
        <v>165</v>
      </c>
      <c r="R31" s="390">
        <v>2020</v>
      </c>
    </row>
    <row r="32" spans="1:18" ht="18.75" customHeight="1" x14ac:dyDescent="0.2">
      <c r="A32" s="388" t="s">
        <v>995</v>
      </c>
      <c r="B32" s="388" t="s">
        <v>166</v>
      </c>
      <c r="C32" s="389">
        <v>3010</v>
      </c>
      <c r="D32" s="390" t="s">
        <v>444</v>
      </c>
      <c r="E32" s="391" t="s">
        <v>1338</v>
      </c>
      <c r="F32" s="392" t="s">
        <v>1177</v>
      </c>
      <c r="G32" s="392">
        <v>8126007013</v>
      </c>
      <c r="H32" s="392" t="s">
        <v>780</v>
      </c>
      <c r="I32" s="393" t="s">
        <v>1276</v>
      </c>
      <c r="J32" s="392"/>
      <c r="K32" s="341"/>
      <c r="L32" s="341" t="s">
        <v>1234</v>
      </c>
      <c r="M32" s="341" t="s">
        <v>937</v>
      </c>
      <c r="N32" s="341" t="s">
        <v>936</v>
      </c>
      <c r="O32" s="341" t="s">
        <v>1917</v>
      </c>
      <c r="P32" s="341" t="s">
        <v>1507</v>
      </c>
      <c r="Q32" s="390" t="s">
        <v>166</v>
      </c>
      <c r="R32" s="390">
        <v>3010</v>
      </c>
    </row>
    <row r="33" spans="1:18" ht="18.75" customHeight="1" x14ac:dyDescent="0.2">
      <c r="A33" s="388" t="s">
        <v>1918</v>
      </c>
      <c r="B33" s="388" t="s">
        <v>1919</v>
      </c>
      <c r="C33" s="389">
        <v>3078</v>
      </c>
      <c r="D33" s="390" t="s">
        <v>443</v>
      </c>
      <c r="E33" s="395" t="s">
        <v>1920</v>
      </c>
      <c r="F33" s="392"/>
      <c r="G33" s="392"/>
      <c r="H33" s="392"/>
      <c r="I33" s="393" t="s">
        <v>611</v>
      </c>
      <c r="J33" s="392"/>
      <c r="K33" s="341"/>
      <c r="L33" s="341" t="s">
        <v>1921</v>
      </c>
      <c r="M33" s="341" t="s">
        <v>1922</v>
      </c>
      <c r="N33" s="341" t="s">
        <v>1923</v>
      </c>
      <c r="O33" s="341">
        <v>1005611189</v>
      </c>
      <c r="P33" s="341" t="s">
        <v>1507</v>
      </c>
      <c r="Q33" s="390" t="s">
        <v>1919</v>
      </c>
      <c r="R33" s="390">
        <v>3078</v>
      </c>
    </row>
    <row r="34" spans="1:18" ht="18.600000000000001" customHeight="1" x14ac:dyDescent="0.2">
      <c r="A34" s="388" t="s">
        <v>996</v>
      </c>
      <c r="B34" s="388" t="s">
        <v>335</v>
      </c>
      <c r="C34" s="389">
        <v>2020</v>
      </c>
      <c r="D34" s="390" t="s">
        <v>450</v>
      </c>
      <c r="E34" s="391" t="s">
        <v>251</v>
      </c>
      <c r="F34" s="392"/>
      <c r="G34" s="392">
        <v>8126006416</v>
      </c>
      <c r="H34" s="392" t="s">
        <v>781</v>
      </c>
      <c r="I34" s="393" t="s">
        <v>765</v>
      </c>
      <c r="J34" s="392"/>
      <c r="K34" s="341" t="s">
        <v>700</v>
      </c>
      <c r="L34" s="341"/>
      <c r="M34" s="341"/>
      <c r="N34" s="341"/>
      <c r="O34" s="341"/>
      <c r="P34" s="341"/>
      <c r="Q34" s="390" t="s">
        <v>335</v>
      </c>
      <c r="R34" s="390">
        <v>2020</v>
      </c>
    </row>
    <row r="35" spans="1:18" ht="18.75" customHeight="1" x14ac:dyDescent="0.2">
      <c r="A35" s="343" t="s">
        <v>997</v>
      </c>
      <c r="B35" s="343" t="s">
        <v>414</v>
      </c>
      <c r="C35" s="343">
        <v>2060</v>
      </c>
      <c r="D35" s="343" t="s">
        <v>447</v>
      </c>
      <c r="E35" s="343" t="s">
        <v>1340</v>
      </c>
      <c r="F35" s="344" t="s">
        <v>1341</v>
      </c>
      <c r="G35" s="344">
        <v>8126007051</v>
      </c>
      <c r="H35" s="344" t="s">
        <v>782</v>
      </c>
      <c r="I35" s="343" t="s">
        <v>765</v>
      </c>
      <c r="J35" s="345">
        <v>16120010</v>
      </c>
      <c r="K35" s="346" t="s">
        <v>701</v>
      </c>
      <c r="L35" s="346"/>
      <c r="M35" s="346"/>
      <c r="N35" s="347"/>
      <c r="O35" s="344"/>
      <c r="P35" s="343" t="s">
        <v>1507</v>
      </c>
      <c r="Q35" s="343" t="s">
        <v>414</v>
      </c>
      <c r="R35" s="343">
        <v>2060</v>
      </c>
    </row>
    <row r="36" spans="1:18" ht="18.75" customHeight="1" x14ac:dyDescent="0.2">
      <c r="A36" s="388" t="s">
        <v>1924</v>
      </c>
      <c r="B36" s="388" t="s">
        <v>1925</v>
      </c>
      <c r="C36" s="389">
        <v>3010</v>
      </c>
      <c r="D36" s="390" t="s">
        <v>444</v>
      </c>
      <c r="E36" s="395" t="s">
        <v>368</v>
      </c>
      <c r="F36" s="392"/>
      <c r="G36" s="392"/>
      <c r="H36" s="392"/>
      <c r="I36" s="393" t="s">
        <v>1276</v>
      </c>
      <c r="J36" s="392"/>
      <c r="K36" s="341"/>
      <c r="L36" s="341" t="s">
        <v>1392</v>
      </c>
      <c r="M36" s="341" t="s">
        <v>1390</v>
      </c>
      <c r="N36" s="341" t="s">
        <v>1389</v>
      </c>
      <c r="O36" s="341">
        <v>1005977745</v>
      </c>
      <c r="P36" s="341" t="s">
        <v>1507</v>
      </c>
      <c r="Q36" s="390" t="s">
        <v>1925</v>
      </c>
      <c r="R36" s="390">
        <v>3010</v>
      </c>
    </row>
    <row r="37" spans="1:18" ht="18.75" customHeight="1" x14ac:dyDescent="0.2">
      <c r="A37" s="388" t="s">
        <v>998</v>
      </c>
      <c r="B37" s="388" t="s">
        <v>167</v>
      </c>
      <c r="C37" s="389">
        <v>3010</v>
      </c>
      <c r="D37" s="390" t="s">
        <v>444</v>
      </c>
      <c r="E37" s="391" t="s">
        <v>1338</v>
      </c>
      <c r="F37" s="392" t="s">
        <v>1342</v>
      </c>
      <c r="G37" s="392">
        <v>8126006480</v>
      </c>
      <c r="H37" s="392" t="s">
        <v>783</v>
      </c>
      <c r="I37" s="393" t="s">
        <v>1276</v>
      </c>
      <c r="J37" s="392"/>
      <c r="K37" s="341" t="s">
        <v>702</v>
      </c>
      <c r="L37" s="341" t="s">
        <v>1236</v>
      </c>
      <c r="M37" s="341" t="s">
        <v>1163</v>
      </c>
      <c r="N37" s="341" t="s">
        <v>1162</v>
      </c>
      <c r="O37" s="341">
        <v>1005977707</v>
      </c>
      <c r="P37" s="341" t="s">
        <v>1507</v>
      </c>
      <c r="Q37" s="390" t="s">
        <v>167</v>
      </c>
      <c r="R37" s="390">
        <v>3010</v>
      </c>
    </row>
    <row r="38" spans="1:18" ht="18.75" customHeight="1" x14ac:dyDescent="0.2">
      <c r="A38" s="348" t="s">
        <v>1926</v>
      </c>
      <c r="B38" s="348" t="s">
        <v>1927</v>
      </c>
      <c r="C38" s="348">
        <v>3000</v>
      </c>
      <c r="D38" s="396" t="s">
        <v>443</v>
      </c>
      <c r="E38" s="396" t="s">
        <v>1902</v>
      </c>
      <c r="F38" s="350"/>
      <c r="G38" s="350"/>
      <c r="H38" s="350"/>
      <c r="I38" s="396" t="s">
        <v>1276</v>
      </c>
      <c r="J38" s="351">
        <v>42900010</v>
      </c>
      <c r="K38" s="352"/>
      <c r="L38" s="352"/>
      <c r="M38" s="352"/>
      <c r="N38" s="353"/>
      <c r="O38" s="396"/>
      <c r="P38" s="349" t="s">
        <v>1507</v>
      </c>
      <c r="Q38" s="348" t="s">
        <v>1927</v>
      </c>
      <c r="R38" s="348">
        <v>3000</v>
      </c>
    </row>
    <row r="39" spans="1:18" ht="18.399999999999999" customHeight="1" x14ac:dyDescent="0.2">
      <c r="A39" s="388" t="s">
        <v>1343</v>
      </c>
      <c r="B39" s="388" t="s">
        <v>1344</v>
      </c>
      <c r="C39" s="389">
        <v>3010</v>
      </c>
      <c r="D39" s="390" t="s">
        <v>444</v>
      </c>
      <c r="E39" s="391" t="s">
        <v>371</v>
      </c>
      <c r="F39" s="392"/>
      <c r="G39" s="392">
        <v>8126007184</v>
      </c>
      <c r="H39" s="392" t="s">
        <v>1443</v>
      </c>
      <c r="I39" s="393" t="s">
        <v>1276</v>
      </c>
      <c r="J39" s="392"/>
      <c r="K39" s="341"/>
      <c r="L39" s="341" t="s">
        <v>1444</v>
      </c>
      <c r="M39" s="341" t="s">
        <v>1445</v>
      </c>
      <c r="N39" s="341" t="s">
        <v>1446</v>
      </c>
      <c r="O39" s="341" t="s">
        <v>1488</v>
      </c>
      <c r="P39" s="341" t="s">
        <v>1507</v>
      </c>
      <c r="Q39" s="390" t="s">
        <v>1344</v>
      </c>
      <c r="R39" s="390">
        <v>3010</v>
      </c>
    </row>
    <row r="40" spans="1:18" ht="18.75" customHeight="1" x14ac:dyDescent="0.2">
      <c r="A40" s="388" t="s">
        <v>1225</v>
      </c>
      <c r="B40" s="388" t="s">
        <v>1500</v>
      </c>
      <c r="C40" s="389">
        <v>3030</v>
      </c>
      <c r="D40" s="390" t="s">
        <v>467</v>
      </c>
      <c r="E40" s="391" t="s">
        <v>1226</v>
      </c>
      <c r="F40" s="392"/>
      <c r="G40" s="392">
        <v>8126007161</v>
      </c>
      <c r="H40" s="392" t="s">
        <v>1227</v>
      </c>
      <c r="I40" s="393" t="s">
        <v>877</v>
      </c>
      <c r="J40" s="392"/>
      <c r="K40" s="341"/>
      <c r="L40" s="341"/>
      <c r="M40" s="341"/>
      <c r="N40" s="341"/>
      <c r="O40" s="341"/>
      <c r="P40" s="341"/>
      <c r="Q40" s="390" t="s">
        <v>1500</v>
      </c>
      <c r="R40" s="390">
        <v>3030</v>
      </c>
    </row>
    <row r="41" spans="1:18" ht="18.75" customHeight="1" x14ac:dyDescent="0.2">
      <c r="A41" s="388" t="s">
        <v>1345</v>
      </c>
      <c r="B41" s="388" t="s">
        <v>421</v>
      </c>
      <c r="C41" s="389">
        <v>3078</v>
      </c>
      <c r="D41" s="390" t="s">
        <v>443</v>
      </c>
      <c r="E41" s="391" t="s">
        <v>452</v>
      </c>
      <c r="F41" s="392"/>
      <c r="G41" s="392">
        <v>8126007047</v>
      </c>
      <c r="H41" s="392" t="s">
        <v>784</v>
      </c>
      <c r="I41" s="393" t="s">
        <v>611</v>
      </c>
      <c r="J41" s="392"/>
      <c r="K41" s="341"/>
      <c r="L41" s="341" t="s">
        <v>1693</v>
      </c>
      <c r="M41" s="341" t="s">
        <v>1694</v>
      </c>
      <c r="N41" s="341" t="s">
        <v>1695</v>
      </c>
      <c r="O41" s="341">
        <v>1005611164</v>
      </c>
      <c r="P41" s="341" t="s">
        <v>1507</v>
      </c>
      <c r="Q41" s="390" t="s">
        <v>421</v>
      </c>
      <c r="R41" s="390">
        <v>3078</v>
      </c>
    </row>
    <row r="42" spans="1:18" ht="18.399999999999999" customHeight="1" x14ac:dyDescent="0.2">
      <c r="A42" s="348" t="s">
        <v>1928</v>
      </c>
      <c r="B42" s="348" t="s">
        <v>1929</v>
      </c>
      <c r="C42" s="348">
        <v>4000</v>
      </c>
      <c r="D42" s="396" t="s">
        <v>1339</v>
      </c>
      <c r="E42" s="396" t="s">
        <v>1902</v>
      </c>
      <c r="F42" s="350"/>
      <c r="G42" s="350"/>
      <c r="H42" s="350"/>
      <c r="I42" s="396" t="s">
        <v>610</v>
      </c>
      <c r="J42" s="351">
        <v>42900010</v>
      </c>
      <c r="K42" s="352"/>
      <c r="L42" s="352"/>
      <c r="M42" s="352"/>
      <c r="N42" s="353"/>
      <c r="O42" s="396"/>
      <c r="P42" s="349"/>
      <c r="Q42" s="348" t="s">
        <v>1929</v>
      </c>
      <c r="R42" s="348">
        <v>4000</v>
      </c>
    </row>
    <row r="43" spans="1:18" ht="18.75" customHeight="1" x14ac:dyDescent="0.2">
      <c r="A43" s="388" t="s">
        <v>1607</v>
      </c>
      <c r="B43" s="388" t="s">
        <v>1608</v>
      </c>
      <c r="C43" s="389">
        <v>3070</v>
      </c>
      <c r="D43" s="390" t="s">
        <v>443</v>
      </c>
      <c r="E43" s="391" t="s">
        <v>1609</v>
      </c>
      <c r="F43" s="392"/>
      <c r="G43" s="392">
        <v>8126007197</v>
      </c>
      <c r="H43" s="392" t="s">
        <v>1610</v>
      </c>
      <c r="I43" s="393" t="s">
        <v>615</v>
      </c>
      <c r="J43" s="392"/>
      <c r="K43" s="341"/>
      <c r="L43" s="341" t="s">
        <v>1611</v>
      </c>
      <c r="M43" s="341" t="s">
        <v>1612</v>
      </c>
      <c r="N43" s="341" t="s">
        <v>1613</v>
      </c>
      <c r="O43" s="341"/>
      <c r="P43" s="341" t="s">
        <v>1507</v>
      </c>
      <c r="Q43" s="390" t="s">
        <v>1608</v>
      </c>
      <c r="R43" s="390">
        <v>3070</v>
      </c>
    </row>
    <row r="44" spans="1:18" ht="18.75" customHeight="1" x14ac:dyDescent="0.2">
      <c r="A44" s="388" t="s">
        <v>999</v>
      </c>
      <c r="B44" s="388" t="s">
        <v>336</v>
      </c>
      <c r="C44" s="389">
        <v>3077</v>
      </c>
      <c r="D44" s="390" t="s">
        <v>443</v>
      </c>
      <c r="E44" s="391" t="s">
        <v>254</v>
      </c>
      <c r="F44" s="392" t="s">
        <v>511</v>
      </c>
      <c r="G44" s="392">
        <v>8126006657</v>
      </c>
      <c r="H44" s="392" t="s">
        <v>612</v>
      </c>
      <c r="I44" s="393" t="s">
        <v>642</v>
      </c>
      <c r="J44" s="392"/>
      <c r="K44" s="341" t="s">
        <v>703</v>
      </c>
      <c r="L44" s="341" t="s">
        <v>1930</v>
      </c>
      <c r="M44" s="341" t="s">
        <v>1842</v>
      </c>
      <c r="N44" s="341" t="s">
        <v>1843</v>
      </c>
      <c r="O44" s="341">
        <v>250907</v>
      </c>
      <c r="P44" s="341" t="s">
        <v>1507</v>
      </c>
      <c r="Q44" s="390" t="s">
        <v>336</v>
      </c>
      <c r="R44" s="390">
        <v>3077</v>
      </c>
    </row>
    <row r="45" spans="1:18" ht="18.75" customHeight="1" x14ac:dyDescent="0.2">
      <c r="A45" s="388" t="s">
        <v>1000</v>
      </c>
      <c r="B45" s="388" t="s">
        <v>168</v>
      </c>
      <c r="C45" s="389">
        <v>3010</v>
      </c>
      <c r="D45" s="390" t="s">
        <v>444</v>
      </c>
      <c r="E45" s="391" t="s">
        <v>255</v>
      </c>
      <c r="F45" s="392" t="s">
        <v>512</v>
      </c>
      <c r="G45" s="392">
        <v>8126006363</v>
      </c>
      <c r="H45" s="392" t="s">
        <v>785</v>
      </c>
      <c r="I45" s="393" t="s">
        <v>1276</v>
      </c>
      <c r="J45" s="392"/>
      <c r="K45" s="341" t="s">
        <v>704</v>
      </c>
      <c r="L45" s="341" t="s">
        <v>1248</v>
      </c>
      <c r="M45" s="341" t="s">
        <v>493</v>
      </c>
      <c r="N45" s="341" t="s">
        <v>524</v>
      </c>
      <c r="O45" s="341">
        <v>1005977746</v>
      </c>
      <c r="P45" s="341" t="s">
        <v>1507</v>
      </c>
      <c r="Q45" s="390" t="s">
        <v>168</v>
      </c>
      <c r="R45" s="390">
        <v>3010</v>
      </c>
    </row>
    <row r="46" spans="1:18" ht="18.75" customHeight="1" x14ac:dyDescent="0.2">
      <c r="A46" s="388" t="s">
        <v>1001</v>
      </c>
      <c r="B46" s="388" t="s">
        <v>337</v>
      </c>
      <c r="C46" s="389">
        <v>3073</v>
      </c>
      <c r="D46" s="390" t="s">
        <v>443</v>
      </c>
      <c r="E46" s="391" t="s">
        <v>1346</v>
      </c>
      <c r="F46" s="392"/>
      <c r="G46" s="392">
        <v>8126007000</v>
      </c>
      <c r="H46" s="392" t="s">
        <v>786</v>
      </c>
      <c r="I46" s="393" t="s">
        <v>935</v>
      </c>
      <c r="J46" s="392"/>
      <c r="K46" s="341" t="s">
        <v>310</v>
      </c>
      <c r="L46" s="341" t="s">
        <v>1696</v>
      </c>
      <c r="M46" s="341" t="s">
        <v>1697</v>
      </c>
      <c r="N46" s="341" t="s">
        <v>1698</v>
      </c>
      <c r="O46" s="341">
        <v>1005977732</v>
      </c>
      <c r="P46" s="341" t="s">
        <v>1507</v>
      </c>
      <c r="Q46" s="390" t="s">
        <v>337</v>
      </c>
      <c r="R46" s="390">
        <v>3073</v>
      </c>
    </row>
    <row r="47" spans="1:18" ht="18.75" customHeight="1" x14ac:dyDescent="0.2">
      <c r="A47" s="388" t="s">
        <v>1002</v>
      </c>
      <c r="B47" s="388" t="s">
        <v>759</v>
      </c>
      <c r="C47" s="389">
        <v>3010</v>
      </c>
      <c r="D47" s="390" t="s">
        <v>444</v>
      </c>
      <c r="E47" s="391" t="s">
        <v>368</v>
      </c>
      <c r="F47" s="392"/>
      <c r="G47" s="392">
        <v>8126007121</v>
      </c>
      <c r="H47" s="392" t="s">
        <v>787</v>
      </c>
      <c r="I47" s="393" t="s">
        <v>1276</v>
      </c>
      <c r="J47" s="392"/>
      <c r="K47" s="341"/>
      <c r="L47" s="341" t="s">
        <v>1699</v>
      </c>
      <c r="M47" s="341" t="s">
        <v>1700</v>
      </c>
      <c r="N47" s="341" t="s">
        <v>1701</v>
      </c>
      <c r="O47" s="341">
        <v>1005611180</v>
      </c>
      <c r="P47" s="341" t="s">
        <v>1507</v>
      </c>
      <c r="Q47" s="390" t="s">
        <v>759</v>
      </c>
      <c r="R47" s="390">
        <v>3010</v>
      </c>
    </row>
    <row r="48" spans="1:18" ht="18.75" customHeight="1" x14ac:dyDescent="0.2">
      <c r="A48" s="388" t="s">
        <v>1003</v>
      </c>
      <c r="B48" s="388" t="s">
        <v>169</v>
      </c>
      <c r="C48" s="389">
        <v>3070</v>
      </c>
      <c r="D48" s="390" t="s">
        <v>443</v>
      </c>
      <c r="E48" s="391" t="s">
        <v>375</v>
      </c>
      <c r="F48" s="392"/>
      <c r="G48" s="392">
        <v>8126006492</v>
      </c>
      <c r="H48" s="392" t="s">
        <v>788</v>
      </c>
      <c r="I48" s="393" t="s">
        <v>615</v>
      </c>
      <c r="J48" s="392"/>
      <c r="K48" s="341"/>
      <c r="L48" s="341" t="s">
        <v>1702</v>
      </c>
      <c r="M48" s="341" t="s">
        <v>1703</v>
      </c>
      <c r="N48" s="341" t="s">
        <v>1704</v>
      </c>
      <c r="O48" s="341">
        <v>1005977756</v>
      </c>
      <c r="P48" s="341" t="s">
        <v>1507</v>
      </c>
      <c r="Q48" s="390" t="s">
        <v>169</v>
      </c>
      <c r="R48" s="390">
        <v>3070</v>
      </c>
    </row>
    <row r="49" spans="1:18" ht="18.75" customHeight="1" x14ac:dyDescent="0.2">
      <c r="A49" s="388" t="s">
        <v>1004</v>
      </c>
      <c r="B49" s="388" t="s">
        <v>170</v>
      </c>
      <c r="C49" s="389">
        <v>3000</v>
      </c>
      <c r="D49" s="390" t="s">
        <v>445</v>
      </c>
      <c r="E49" s="391" t="s">
        <v>245</v>
      </c>
      <c r="F49" s="392"/>
      <c r="G49" s="392">
        <v>0</v>
      </c>
      <c r="H49" s="392" t="s">
        <v>789</v>
      </c>
      <c r="I49" s="393" t="s">
        <v>1276</v>
      </c>
      <c r="J49" s="392"/>
      <c r="K49" s="341" t="s">
        <v>705</v>
      </c>
      <c r="L49" s="341"/>
      <c r="M49" s="341"/>
      <c r="N49" s="341"/>
      <c r="O49" s="341"/>
      <c r="P49" s="341" t="s">
        <v>1507</v>
      </c>
      <c r="Q49" s="390" t="s">
        <v>170</v>
      </c>
      <c r="R49" s="390">
        <v>3000</v>
      </c>
    </row>
    <row r="50" spans="1:18" ht="18.75" customHeight="1" x14ac:dyDescent="0.2">
      <c r="A50" s="388" t="s">
        <v>1705</v>
      </c>
      <c r="B50" s="388" t="s">
        <v>1706</v>
      </c>
      <c r="C50" s="389">
        <v>3078</v>
      </c>
      <c r="D50" s="390" t="s">
        <v>443</v>
      </c>
      <c r="E50" s="395" t="s">
        <v>1931</v>
      </c>
      <c r="F50" s="392"/>
      <c r="G50" s="392">
        <v>8126007207</v>
      </c>
      <c r="H50" s="392" t="s">
        <v>1844</v>
      </c>
      <c r="I50" s="393" t="s">
        <v>611</v>
      </c>
      <c r="J50" s="392"/>
      <c r="K50" s="341"/>
      <c r="L50" s="341" t="s">
        <v>1209</v>
      </c>
      <c r="M50" s="341" t="s">
        <v>1208</v>
      </c>
      <c r="N50" s="341" t="s">
        <v>519</v>
      </c>
      <c r="O50" s="341"/>
      <c r="P50" s="341" t="s">
        <v>1507</v>
      </c>
      <c r="Q50" s="390" t="s">
        <v>1706</v>
      </c>
      <c r="R50" s="390">
        <v>3078</v>
      </c>
    </row>
    <row r="51" spans="1:18" ht="18.75" customHeight="1" x14ac:dyDescent="0.2">
      <c r="A51" s="388" t="s">
        <v>1447</v>
      </c>
      <c r="B51" s="388" t="s">
        <v>1489</v>
      </c>
      <c r="C51" s="389">
        <v>3010</v>
      </c>
      <c r="D51" s="390" t="s">
        <v>444</v>
      </c>
      <c r="E51" s="391" t="s">
        <v>1517</v>
      </c>
      <c r="F51" s="392" t="s">
        <v>1501</v>
      </c>
      <c r="G51" s="392">
        <v>8126007183</v>
      </c>
      <c r="H51" s="392" t="s">
        <v>1448</v>
      </c>
      <c r="I51" s="393" t="s">
        <v>1276</v>
      </c>
      <c r="J51" s="392"/>
      <c r="K51" s="341"/>
      <c r="L51" s="341"/>
      <c r="M51" s="341"/>
      <c r="N51" s="341"/>
      <c r="O51" s="341"/>
      <c r="P51" s="341" t="s">
        <v>1507</v>
      </c>
      <c r="Q51" s="390" t="s">
        <v>1489</v>
      </c>
      <c r="R51" s="390">
        <v>3010</v>
      </c>
    </row>
    <row r="52" spans="1:18" ht="18.75" customHeight="1" x14ac:dyDescent="0.2">
      <c r="A52" s="388" t="s">
        <v>1005</v>
      </c>
      <c r="B52" s="388" t="s">
        <v>171</v>
      </c>
      <c r="C52" s="389">
        <v>2000</v>
      </c>
      <c r="D52" s="390" t="s">
        <v>447</v>
      </c>
      <c r="E52" s="391" t="s">
        <v>664</v>
      </c>
      <c r="F52" s="392" t="s">
        <v>1502</v>
      </c>
      <c r="G52" s="392">
        <v>8126006341</v>
      </c>
      <c r="H52" s="392" t="s">
        <v>790</v>
      </c>
      <c r="I52" s="393" t="s">
        <v>765</v>
      </c>
      <c r="J52" s="392"/>
      <c r="K52" s="341" t="s">
        <v>706</v>
      </c>
      <c r="L52" s="341"/>
      <c r="M52" s="341"/>
      <c r="N52" s="341"/>
      <c r="O52" s="341"/>
      <c r="P52" s="341" t="s">
        <v>1507</v>
      </c>
      <c r="Q52" s="390" t="s">
        <v>171</v>
      </c>
      <c r="R52" s="390">
        <v>2000</v>
      </c>
    </row>
    <row r="53" spans="1:18" ht="18.75" customHeight="1" x14ac:dyDescent="0.2">
      <c r="A53" s="388" t="s">
        <v>1614</v>
      </c>
      <c r="B53" s="388" t="s">
        <v>1615</v>
      </c>
      <c r="C53" s="389">
        <v>3000</v>
      </c>
      <c r="D53" s="390" t="s">
        <v>445</v>
      </c>
      <c r="E53" s="391" t="s">
        <v>1616</v>
      </c>
      <c r="F53" s="392"/>
      <c r="G53" s="392"/>
      <c r="H53" s="392" t="s">
        <v>1617</v>
      </c>
      <c r="I53" s="393" t="s">
        <v>1276</v>
      </c>
      <c r="J53" s="392"/>
      <c r="K53" s="341"/>
      <c r="L53" s="341"/>
      <c r="M53" s="341"/>
      <c r="N53" s="341"/>
      <c r="O53" s="341"/>
      <c r="P53" s="341" t="s">
        <v>1507</v>
      </c>
      <c r="Q53" s="390" t="s">
        <v>1615</v>
      </c>
      <c r="R53" s="390">
        <v>3000</v>
      </c>
    </row>
    <row r="54" spans="1:18" ht="18.75" customHeight="1" x14ac:dyDescent="0.2">
      <c r="A54" s="388" t="s">
        <v>1006</v>
      </c>
      <c r="B54" s="388" t="s">
        <v>172</v>
      </c>
      <c r="C54" s="389">
        <v>3070</v>
      </c>
      <c r="D54" s="390" t="s">
        <v>443</v>
      </c>
      <c r="E54" s="391" t="s">
        <v>1347</v>
      </c>
      <c r="F54" s="392"/>
      <c r="G54" s="392">
        <v>8126007007</v>
      </c>
      <c r="H54" s="392" t="s">
        <v>791</v>
      </c>
      <c r="I54" s="393" t="s">
        <v>615</v>
      </c>
      <c r="J54" s="392"/>
      <c r="K54" s="341" t="s">
        <v>310</v>
      </c>
      <c r="L54" s="341" t="s">
        <v>1559</v>
      </c>
      <c r="M54" s="341" t="s">
        <v>1560</v>
      </c>
      <c r="N54" s="341" t="s">
        <v>1561</v>
      </c>
      <c r="O54" s="341">
        <v>1005611146</v>
      </c>
      <c r="P54" s="341" t="s">
        <v>1507</v>
      </c>
      <c r="Q54" s="390" t="s">
        <v>172</v>
      </c>
      <c r="R54" s="390">
        <v>3070</v>
      </c>
    </row>
    <row r="55" spans="1:18" ht="18.75" customHeight="1" x14ac:dyDescent="0.2">
      <c r="A55" s="388" t="s">
        <v>1007</v>
      </c>
      <c r="B55" s="388" t="s">
        <v>418</v>
      </c>
      <c r="C55" s="389">
        <v>2011</v>
      </c>
      <c r="D55" s="390" t="s">
        <v>1348</v>
      </c>
      <c r="E55" s="391" t="s">
        <v>1349</v>
      </c>
      <c r="F55" s="392" t="s">
        <v>514</v>
      </c>
      <c r="G55" s="392">
        <v>8126007050</v>
      </c>
      <c r="H55" s="392" t="s">
        <v>792</v>
      </c>
      <c r="I55" s="393" t="s">
        <v>765</v>
      </c>
      <c r="J55" s="392"/>
      <c r="K55" s="341" t="s">
        <v>707</v>
      </c>
      <c r="L55" s="341" t="s">
        <v>1238</v>
      </c>
      <c r="M55" s="341" t="s">
        <v>477</v>
      </c>
      <c r="N55" s="341" t="s">
        <v>513</v>
      </c>
      <c r="O55" s="341">
        <v>1005611186</v>
      </c>
      <c r="P55" s="341" t="s">
        <v>1507</v>
      </c>
      <c r="Q55" s="390" t="s">
        <v>418</v>
      </c>
      <c r="R55" s="390">
        <v>2011</v>
      </c>
    </row>
    <row r="56" spans="1:18" ht="18.399999999999999" customHeight="1" x14ac:dyDescent="0.2">
      <c r="A56" s="388" t="s">
        <v>1008</v>
      </c>
      <c r="B56" s="388" t="s">
        <v>427</v>
      </c>
      <c r="C56" s="389">
        <v>3072</v>
      </c>
      <c r="D56" s="390" t="s">
        <v>443</v>
      </c>
      <c r="E56" s="391" t="s">
        <v>453</v>
      </c>
      <c r="F56" s="392"/>
      <c r="G56" s="392">
        <v>8126007057</v>
      </c>
      <c r="H56" s="392" t="s">
        <v>793</v>
      </c>
      <c r="I56" s="393" t="s">
        <v>766</v>
      </c>
      <c r="J56" s="392"/>
      <c r="K56" s="341" t="s">
        <v>310</v>
      </c>
      <c r="L56" s="341" t="s">
        <v>1239</v>
      </c>
      <c r="M56" s="341" t="s">
        <v>478</v>
      </c>
      <c r="N56" s="341" t="s">
        <v>515</v>
      </c>
      <c r="O56" s="341">
        <v>1005977706</v>
      </c>
      <c r="P56" s="341" t="s">
        <v>1507</v>
      </c>
      <c r="Q56" s="390" t="s">
        <v>427</v>
      </c>
      <c r="R56" s="390">
        <v>3072</v>
      </c>
    </row>
    <row r="57" spans="1:18" ht="18.75" customHeight="1" x14ac:dyDescent="0.2">
      <c r="A57" s="388" t="s">
        <v>1009</v>
      </c>
      <c r="B57" s="388" t="s">
        <v>338</v>
      </c>
      <c r="C57" s="389">
        <v>3078</v>
      </c>
      <c r="D57" s="390" t="s">
        <v>443</v>
      </c>
      <c r="E57" s="391" t="s">
        <v>1350</v>
      </c>
      <c r="F57" s="392"/>
      <c r="G57" s="392">
        <v>8126006367</v>
      </c>
      <c r="H57" s="392" t="s">
        <v>794</v>
      </c>
      <c r="I57" s="393" t="s">
        <v>611</v>
      </c>
      <c r="J57" s="392"/>
      <c r="K57" s="341" t="s">
        <v>310</v>
      </c>
      <c r="L57" s="341" t="s">
        <v>1707</v>
      </c>
      <c r="M57" s="341" t="s">
        <v>1708</v>
      </c>
      <c r="N57" s="341" t="s">
        <v>1709</v>
      </c>
      <c r="O57" s="341">
        <v>1005977717</v>
      </c>
      <c r="P57" s="341" t="s">
        <v>1507</v>
      </c>
      <c r="Q57" s="390" t="s">
        <v>338</v>
      </c>
      <c r="R57" s="390">
        <v>3078</v>
      </c>
    </row>
    <row r="58" spans="1:18" ht="18.75" customHeight="1" x14ac:dyDescent="0.2">
      <c r="A58" s="348" t="s">
        <v>1672</v>
      </c>
      <c r="B58" s="348" t="s">
        <v>1673</v>
      </c>
      <c r="C58" s="348">
        <v>3002</v>
      </c>
      <c r="D58" s="396" t="s">
        <v>443</v>
      </c>
      <c r="E58" s="396" t="s">
        <v>1377</v>
      </c>
      <c r="F58" s="350"/>
      <c r="G58" s="350"/>
      <c r="H58" s="350"/>
      <c r="I58" s="396" t="s">
        <v>1276</v>
      </c>
      <c r="J58" s="351">
        <v>42900010</v>
      </c>
      <c r="K58" s="352"/>
      <c r="L58" s="352" t="s">
        <v>1710</v>
      </c>
      <c r="M58" s="352" t="s">
        <v>1711</v>
      </c>
      <c r="N58" s="353" t="s">
        <v>1712</v>
      </c>
      <c r="O58" s="396"/>
      <c r="P58" s="349" t="s">
        <v>1507</v>
      </c>
      <c r="Q58" s="348" t="s">
        <v>1673</v>
      </c>
      <c r="R58" s="348">
        <v>3002</v>
      </c>
    </row>
    <row r="59" spans="1:18" ht="18.75" customHeight="1" x14ac:dyDescent="0.2">
      <c r="A59" s="388" t="s">
        <v>1010</v>
      </c>
      <c r="B59" s="388" t="s">
        <v>174</v>
      </c>
      <c r="C59" s="389">
        <v>3010</v>
      </c>
      <c r="D59" s="390" t="s">
        <v>444</v>
      </c>
      <c r="E59" s="391" t="s">
        <v>257</v>
      </c>
      <c r="F59" s="392"/>
      <c r="G59" s="392">
        <v>8126007011</v>
      </c>
      <c r="H59" s="392" t="s">
        <v>795</v>
      </c>
      <c r="I59" s="393" t="s">
        <v>1276</v>
      </c>
      <c r="J59" s="392"/>
      <c r="K59" s="341" t="s">
        <v>708</v>
      </c>
      <c r="L59" s="341" t="s">
        <v>1240</v>
      </c>
      <c r="M59" s="341" t="s">
        <v>941</v>
      </c>
      <c r="N59" s="341" t="s">
        <v>940</v>
      </c>
      <c r="O59" s="341" t="s">
        <v>1490</v>
      </c>
      <c r="P59" s="341" t="s">
        <v>1507</v>
      </c>
      <c r="Q59" s="390" t="s">
        <v>174</v>
      </c>
      <c r="R59" s="390">
        <v>3010</v>
      </c>
    </row>
    <row r="60" spans="1:18" ht="18.75" customHeight="1" x14ac:dyDescent="0.2">
      <c r="A60" s="388" t="s">
        <v>1011</v>
      </c>
      <c r="B60" s="388" t="s">
        <v>415</v>
      </c>
      <c r="C60" s="389">
        <v>4000</v>
      </c>
      <c r="D60" s="390" t="s">
        <v>194</v>
      </c>
      <c r="E60" s="391" t="s">
        <v>288</v>
      </c>
      <c r="F60" s="392" t="s">
        <v>516</v>
      </c>
      <c r="G60" s="392">
        <v>8126007043</v>
      </c>
      <c r="H60" s="392" t="s">
        <v>610</v>
      </c>
      <c r="I60" s="393" t="s">
        <v>613</v>
      </c>
      <c r="J60" s="392"/>
      <c r="K60" s="341" t="s">
        <v>709</v>
      </c>
      <c r="L60" s="341" t="s">
        <v>1283</v>
      </c>
      <c r="M60" s="341" t="s">
        <v>1195</v>
      </c>
      <c r="N60" s="341" t="s">
        <v>1282</v>
      </c>
      <c r="O60" s="341">
        <v>1050700505</v>
      </c>
      <c r="P60" s="341" t="s">
        <v>1507</v>
      </c>
      <c r="Q60" s="390" t="s">
        <v>415</v>
      </c>
      <c r="R60" s="390">
        <v>4000</v>
      </c>
    </row>
    <row r="61" spans="1:18" ht="18.75" customHeight="1" x14ac:dyDescent="0.2">
      <c r="A61" s="348" t="s">
        <v>1196</v>
      </c>
      <c r="B61" s="348" t="s">
        <v>1197</v>
      </c>
      <c r="C61" s="348">
        <v>3072</v>
      </c>
      <c r="D61" s="396" t="s">
        <v>443</v>
      </c>
      <c r="E61" s="396" t="s">
        <v>1198</v>
      </c>
      <c r="F61" s="350"/>
      <c r="G61" s="350"/>
      <c r="H61" s="350" t="s">
        <v>1201</v>
      </c>
      <c r="I61" s="396" t="s">
        <v>1276</v>
      </c>
      <c r="J61" s="351">
        <v>42900010</v>
      </c>
      <c r="K61" s="352"/>
      <c r="L61" s="352" t="s">
        <v>1202</v>
      </c>
      <c r="M61" s="352" t="s">
        <v>1200</v>
      </c>
      <c r="N61" s="353" t="s">
        <v>1199</v>
      </c>
      <c r="O61" s="396">
        <v>1005611167</v>
      </c>
      <c r="P61" s="349" t="s">
        <v>1507</v>
      </c>
      <c r="Q61" s="348" t="s">
        <v>1197</v>
      </c>
      <c r="R61" s="348">
        <v>3072</v>
      </c>
    </row>
    <row r="62" spans="1:18" ht="18.75" customHeight="1" x14ac:dyDescent="0.2">
      <c r="A62" s="388" t="s">
        <v>1012</v>
      </c>
      <c r="B62" s="388" t="s">
        <v>175</v>
      </c>
      <c r="C62" s="389">
        <v>3070</v>
      </c>
      <c r="D62" s="390" t="s">
        <v>443</v>
      </c>
      <c r="E62" s="391" t="s">
        <v>377</v>
      </c>
      <c r="F62" s="392"/>
      <c r="G62" s="392">
        <v>8126006515</v>
      </c>
      <c r="H62" s="392" t="s">
        <v>796</v>
      </c>
      <c r="I62" s="393" t="s">
        <v>615</v>
      </c>
      <c r="J62" s="392"/>
      <c r="K62" s="341" t="s">
        <v>310</v>
      </c>
      <c r="L62" s="341" t="s">
        <v>1241</v>
      </c>
      <c r="M62" s="341" t="s">
        <v>479</v>
      </c>
      <c r="N62" s="341" t="s">
        <v>517</v>
      </c>
      <c r="O62" s="341">
        <v>1005611185</v>
      </c>
      <c r="P62" s="341" t="s">
        <v>1507</v>
      </c>
      <c r="Q62" s="390" t="s">
        <v>175</v>
      </c>
      <c r="R62" s="390">
        <v>3070</v>
      </c>
    </row>
    <row r="63" spans="1:18" ht="18.75" customHeight="1" x14ac:dyDescent="0.2">
      <c r="A63" s="388" t="s">
        <v>1013</v>
      </c>
      <c r="B63" s="388" t="s">
        <v>437</v>
      </c>
      <c r="C63" s="389">
        <v>3010</v>
      </c>
      <c r="D63" s="390" t="s">
        <v>444</v>
      </c>
      <c r="E63" s="391" t="s">
        <v>371</v>
      </c>
      <c r="F63" s="392"/>
      <c r="G63" s="392">
        <v>8126007068</v>
      </c>
      <c r="H63" s="392" t="s">
        <v>797</v>
      </c>
      <c r="I63" s="393" t="s">
        <v>1276</v>
      </c>
      <c r="J63" s="392"/>
      <c r="K63" s="341" t="s">
        <v>310</v>
      </c>
      <c r="L63" s="341" t="s">
        <v>1285</v>
      </c>
      <c r="M63" s="341" t="s">
        <v>476</v>
      </c>
      <c r="N63" s="341" t="s">
        <v>1284</v>
      </c>
      <c r="O63" s="341" t="s">
        <v>1932</v>
      </c>
      <c r="P63" s="341" t="s">
        <v>1507</v>
      </c>
      <c r="Q63" s="390" t="s">
        <v>437</v>
      </c>
      <c r="R63" s="390">
        <v>3010</v>
      </c>
    </row>
    <row r="64" spans="1:18" ht="18.75" customHeight="1" x14ac:dyDescent="0.2">
      <c r="A64" s="388" t="s">
        <v>1178</v>
      </c>
      <c r="B64" s="388" t="s">
        <v>973</v>
      </c>
      <c r="C64" s="389">
        <v>4000</v>
      </c>
      <c r="D64" s="390" t="s">
        <v>194</v>
      </c>
      <c r="E64" s="391" t="s">
        <v>1351</v>
      </c>
      <c r="F64" s="392"/>
      <c r="G64" s="392">
        <v>0</v>
      </c>
      <c r="H64" s="392" t="s">
        <v>974</v>
      </c>
      <c r="I64" s="393" t="s">
        <v>610</v>
      </c>
      <c r="J64" s="392"/>
      <c r="K64" s="341"/>
      <c r="L64" s="341"/>
      <c r="M64" s="341"/>
      <c r="N64" s="341"/>
      <c r="O64" s="341"/>
      <c r="P64" s="341"/>
      <c r="Q64" s="390" t="s">
        <v>973</v>
      </c>
      <c r="R64" s="390">
        <v>4000</v>
      </c>
    </row>
    <row r="65" spans="1:18" ht="18.75" customHeight="1" x14ac:dyDescent="0.2">
      <c r="A65" s="388" t="s">
        <v>1014</v>
      </c>
      <c r="B65" s="388" t="s">
        <v>339</v>
      </c>
      <c r="C65" s="389">
        <v>3076</v>
      </c>
      <c r="D65" s="390" t="s">
        <v>443</v>
      </c>
      <c r="E65" s="391" t="s">
        <v>378</v>
      </c>
      <c r="F65" s="392"/>
      <c r="G65" s="392">
        <v>8126006514</v>
      </c>
      <c r="H65" s="392" t="s">
        <v>798</v>
      </c>
      <c r="I65" s="393" t="s">
        <v>1220</v>
      </c>
      <c r="J65" s="392"/>
      <c r="K65" s="341" t="s">
        <v>310</v>
      </c>
      <c r="L65" s="341" t="s">
        <v>1713</v>
      </c>
      <c r="M65" s="341" t="s">
        <v>1714</v>
      </c>
      <c r="N65" s="341" t="s">
        <v>1715</v>
      </c>
      <c r="O65" s="341">
        <v>1005611155</v>
      </c>
      <c r="P65" s="341" t="s">
        <v>1507</v>
      </c>
      <c r="Q65" s="390" t="s">
        <v>339</v>
      </c>
      <c r="R65" s="390">
        <v>3076</v>
      </c>
    </row>
    <row r="66" spans="1:18" ht="18.75" customHeight="1" x14ac:dyDescent="0.2">
      <c r="A66" s="397" t="s">
        <v>1015</v>
      </c>
      <c r="B66" s="397" t="s">
        <v>628</v>
      </c>
      <c r="C66" s="397">
        <v>6010</v>
      </c>
      <c r="D66" s="398" t="s">
        <v>454</v>
      </c>
      <c r="E66" s="399" t="s">
        <v>258</v>
      </c>
      <c r="F66" s="400"/>
      <c r="G66" s="400">
        <v>0</v>
      </c>
      <c r="H66" s="401" t="s">
        <v>799</v>
      </c>
      <c r="I66" s="401" t="s">
        <v>1313</v>
      </c>
      <c r="J66" s="341"/>
      <c r="K66" s="342" t="s">
        <v>710</v>
      </c>
      <c r="L66" s="342"/>
      <c r="M66" s="342"/>
      <c r="N66" s="402"/>
      <c r="O66" s="401"/>
      <c r="P66" s="367"/>
      <c r="Q66" s="397" t="s">
        <v>628</v>
      </c>
      <c r="R66" s="397">
        <v>6010</v>
      </c>
    </row>
    <row r="67" spans="1:18" ht="18.75" customHeight="1" x14ac:dyDescent="0.2">
      <c r="A67" s="388" t="s">
        <v>1164</v>
      </c>
      <c r="B67" s="388" t="s">
        <v>1165</v>
      </c>
      <c r="C67" s="389">
        <v>3077</v>
      </c>
      <c r="D67" s="390" t="s">
        <v>443</v>
      </c>
      <c r="E67" s="391" t="s">
        <v>455</v>
      </c>
      <c r="F67" s="392"/>
      <c r="G67" s="392">
        <v>8126007156</v>
      </c>
      <c r="H67" s="392" t="s">
        <v>1203</v>
      </c>
      <c r="I67" s="393" t="s">
        <v>612</v>
      </c>
      <c r="J67" s="392"/>
      <c r="K67" s="341"/>
      <c r="L67" s="341" t="s">
        <v>1845</v>
      </c>
      <c r="M67" s="341" t="s">
        <v>1846</v>
      </c>
      <c r="N67" s="341" t="s">
        <v>1847</v>
      </c>
      <c r="O67" s="341">
        <v>1005977692</v>
      </c>
      <c r="P67" s="341" t="s">
        <v>1507</v>
      </c>
      <c r="Q67" s="390" t="s">
        <v>1165</v>
      </c>
      <c r="R67" s="390">
        <v>3077</v>
      </c>
    </row>
    <row r="68" spans="1:18" ht="18.75" customHeight="1" x14ac:dyDescent="0.2">
      <c r="A68" s="388" t="s">
        <v>1590</v>
      </c>
      <c r="B68" s="388" t="s">
        <v>1591</v>
      </c>
      <c r="C68" s="389">
        <v>3460</v>
      </c>
      <c r="D68" s="390" t="s">
        <v>1506</v>
      </c>
      <c r="E68" s="391" t="s">
        <v>1510</v>
      </c>
      <c r="F68" s="392"/>
      <c r="G68" s="392">
        <v>8126007202</v>
      </c>
      <c r="H68" s="392" t="s">
        <v>1618</v>
      </c>
      <c r="I68" s="393" t="s">
        <v>1326</v>
      </c>
      <c r="J68" s="392"/>
      <c r="K68" s="341"/>
      <c r="L68" s="341" t="s">
        <v>1716</v>
      </c>
      <c r="M68" s="341" t="s">
        <v>1619</v>
      </c>
      <c r="N68" s="341" t="s">
        <v>1717</v>
      </c>
      <c r="O68" s="341"/>
      <c r="P68" s="341" t="s">
        <v>1507</v>
      </c>
      <c r="Q68" s="390" t="s">
        <v>1591</v>
      </c>
      <c r="R68" s="390">
        <v>3460</v>
      </c>
    </row>
    <row r="69" spans="1:18" ht="18.75" customHeight="1" x14ac:dyDescent="0.2">
      <c r="A69" s="388" t="s">
        <v>1179</v>
      </c>
      <c r="B69" s="388" t="s">
        <v>1180</v>
      </c>
      <c r="C69" s="389">
        <v>3076</v>
      </c>
      <c r="D69" s="390" t="s">
        <v>443</v>
      </c>
      <c r="E69" s="391" t="s">
        <v>272</v>
      </c>
      <c r="F69" s="392"/>
      <c r="G69" s="392">
        <v>8126007153</v>
      </c>
      <c r="H69" s="392" t="s">
        <v>1206</v>
      </c>
      <c r="I69" s="393" t="s">
        <v>1220</v>
      </c>
      <c r="J69" s="392"/>
      <c r="K69" s="341"/>
      <c r="L69" s="341" t="s">
        <v>1207</v>
      </c>
      <c r="M69" s="341" t="s">
        <v>1205</v>
      </c>
      <c r="N69" s="341" t="s">
        <v>1204</v>
      </c>
      <c r="O69" s="341" t="s">
        <v>1491</v>
      </c>
      <c r="P69" s="341" t="s">
        <v>1507</v>
      </c>
      <c r="Q69" s="390" t="s">
        <v>1180</v>
      </c>
      <c r="R69" s="390">
        <v>3076</v>
      </c>
    </row>
    <row r="70" spans="1:18" ht="18.75" customHeight="1" x14ac:dyDescent="0.2">
      <c r="A70" s="388" t="s">
        <v>1016</v>
      </c>
      <c r="B70" s="388" t="s">
        <v>176</v>
      </c>
      <c r="C70" s="389">
        <v>4000</v>
      </c>
      <c r="D70" s="390" t="s">
        <v>1339</v>
      </c>
      <c r="E70" s="391" t="s">
        <v>252</v>
      </c>
      <c r="F70" s="392"/>
      <c r="G70" s="392">
        <v>8126007030</v>
      </c>
      <c r="H70" s="392" t="s">
        <v>800</v>
      </c>
      <c r="I70" s="393" t="s">
        <v>610</v>
      </c>
      <c r="J70" s="392"/>
      <c r="K70" s="341" t="s">
        <v>711</v>
      </c>
      <c r="L70" s="341"/>
      <c r="M70" s="341"/>
      <c r="N70" s="341"/>
      <c r="O70" s="341"/>
      <c r="P70" s="341"/>
      <c r="Q70" s="390" t="s">
        <v>176</v>
      </c>
      <c r="R70" s="390">
        <v>4000</v>
      </c>
    </row>
    <row r="71" spans="1:18" ht="18.75" customHeight="1" x14ac:dyDescent="0.2">
      <c r="A71" s="388" t="s">
        <v>1518</v>
      </c>
      <c r="B71" s="388" t="s">
        <v>1519</v>
      </c>
      <c r="C71" s="389">
        <v>3076</v>
      </c>
      <c r="D71" s="390" t="s">
        <v>443</v>
      </c>
      <c r="E71" s="391" t="s">
        <v>1352</v>
      </c>
      <c r="F71" s="392"/>
      <c r="G71" s="392">
        <v>8126007162</v>
      </c>
      <c r="H71" s="392" t="s">
        <v>1315</v>
      </c>
      <c r="I71" s="393" t="s">
        <v>1220</v>
      </c>
      <c r="J71" s="392"/>
      <c r="K71" s="341"/>
      <c r="L71" s="341" t="s">
        <v>1257</v>
      </c>
      <c r="M71" s="341" t="s">
        <v>970</v>
      </c>
      <c r="N71" s="341" t="s">
        <v>969</v>
      </c>
      <c r="O71" s="341">
        <v>1005611142</v>
      </c>
      <c r="P71" s="341" t="s">
        <v>1507</v>
      </c>
      <c r="Q71" s="390" t="s">
        <v>1519</v>
      </c>
      <c r="R71" s="390">
        <v>3076</v>
      </c>
    </row>
    <row r="72" spans="1:18" ht="18.75" customHeight="1" x14ac:dyDescent="0.2">
      <c r="A72" s="388" t="s">
        <v>1674</v>
      </c>
      <c r="B72" s="388" t="s">
        <v>1675</v>
      </c>
      <c r="C72" s="389">
        <v>4000</v>
      </c>
      <c r="D72" s="390" t="s">
        <v>194</v>
      </c>
      <c r="E72" s="391" t="s">
        <v>1676</v>
      </c>
      <c r="F72" s="392"/>
      <c r="G72" s="392">
        <v>8126007209</v>
      </c>
      <c r="H72" s="392" t="s">
        <v>1848</v>
      </c>
      <c r="I72" s="393" t="s">
        <v>610</v>
      </c>
      <c r="J72" s="392"/>
      <c r="K72" s="341"/>
      <c r="L72" s="341"/>
      <c r="M72" s="341"/>
      <c r="N72" s="341"/>
      <c r="O72" s="341"/>
      <c r="P72" s="341"/>
      <c r="Q72" s="390" t="s">
        <v>1675</v>
      </c>
      <c r="R72" s="390">
        <v>4000</v>
      </c>
    </row>
    <row r="73" spans="1:18" ht="18.75" customHeight="1" x14ac:dyDescent="0.2">
      <c r="A73" s="388" t="s">
        <v>1017</v>
      </c>
      <c r="B73" s="388" t="s">
        <v>177</v>
      </c>
      <c r="C73" s="389">
        <v>6010</v>
      </c>
      <c r="D73" s="390" t="s">
        <v>454</v>
      </c>
      <c r="E73" s="391" t="s">
        <v>258</v>
      </c>
      <c r="F73" s="392"/>
      <c r="G73" s="392">
        <v>8126007169</v>
      </c>
      <c r="H73" s="392" t="s">
        <v>801</v>
      </c>
      <c r="I73" s="393" t="s">
        <v>1313</v>
      </c>
      <c r="J73" s="392"/>
      <c r="K73" s="341" t="s">
        <v>712</v>
      </c>
      <c r="L73" s="341"/>
      <c r="M73" s="341"/>
      <c r="N73" s="341"/>
      <c r="O73" s="341"/>
      <c r="P73" s="341"/>
      <c r="Q73" s="390" t="s">
        <v>177</v>
      </c>
      <c r="R73" s="390">
        <v>6010</v>
      </c>
    </row>
    <row r="74" spans="1:18" ht="18.75" customHeight="1" x14ac:dyDescent="0.2">
      <c r="A74" s="388" t="s">
        <v>1353</v>
      </c>
      <c r="B74" s="388" t="s">
        <v>1354</v>
      </c>
      <c r="C74" s="389">
        <v>3070</v>
      </c>
      <c r="D74" s="390" t="s">
        <v>443</v>
      </c>
      <c r="E74" s="391" t="s">
        <v>374</v>
      </c>
      <c r="F74" s="392"/>
      <c r="G74" s="392">
        <v>8126007179</v>
      </c>
      <c r="H74" s="392" t="s">
        <v>1355</v>
      </c>
      <c r="I74" s="393" t="s">
        <v>615</v>
      </c>
      <c r="J74" s="392"/>
      <c r="K74" s="341"/>
      <c r="L74" s="341" t="s">
        <v>1718</v>
      </c>
      <c r="M74" s="341" t="s">
        <v>1719</v>
      </c>
      <c r="N74" s="341" t="s">
        <v>1720</v>
      </c>
      <c r="O74" s="341">
        <v>1005611172</v>
      </c>
      <c r="P74" s="341" t="s">
        <v>1507</v>
      </c>
      <c r="Q74" s="390" t="s">
        <v>1354</v>
      </c>
      <c r="R74" s="390">
        <v>3070</v>
      </c>
    </row>
    <row r="75" spans="1:18" ht="18.75" customHeight="1" x14ac:dyDescent="0.2">
      <c r="A75" s="388" t="s">
        <v>1018</v>
      </c>
      <c r="B75" s="388" t="s">
        <v>420</v>
      </c>
      <c r="C75" s="389">
        <v>3073</v>
      </c>
      <c r="D75" s="390" t="s">
        <v>443</v>
      </c>
      <c r="E75" s="391" t="s">
        <v>270</v>
      </c>
      <c r="F75" s="392"/>
      <c r="G75" s="392">
        <v>8126007046</v>
      </c>
      <c r="H75" s="392" t="s">
        <v>802</v>
      </c>
      <c r="I75" s="393" t="s">
        <v>935</v>
      </c>
      <c r="J75" s="392"/>
      <c r="K75" s="341" t="s">
        <v>310</v>
      </c>
      <c r="L75" s="341" t="s">
        <v>1721</v>
      </c>
      <c r="M75" s="341" t="s">
        <v>1722</v>
      </c>
      <c r="N75" s="341" t="s">
        <v>1723</v>
      </c>
      <c r="O75" s="341">
        <v>1005977721</v>
      </c>
      <c r="P75" s="341" t="s">
        <v>1507</v>
      </c>
      <c r="Q75" s="390" t="s">
        <v>420</v>
      </c>
      <c r="R75" s="390">
        <v>3073</v>
      </c>
    </row>
    <row r="76" spans="1:18" ht="18.75" customHeight="1" x14ac:dyDescent="0.2">
      <c r="A76" s="388" t="s">
        <v>1019</v>
      </c>
      <c r="B76" s="388" t="s">
        <v>178</v>
      </c>
      <c r="C76" s="389">
        <v>3010</v>
      </c>
      <c r="D76" s="390" t="s">
        <v>444</v>
      </c>
      <c r="E76" s="391" t="s">
        <v>386</v>
      </c>
      <c r="F76" s="392"/>
      <c r="G76" s="392">
        <v>8126006510</v>
      </c>
      <c r="H76" s="392" t="s">
        <v>803</v>
      </c>
      <c r="I76" s="393" t="s">
        <v>1276</v>
      </c>
      <c r="J76" s="392"/>
      <c r="K76" s="341"/>
      <c r="L76" s="341" t="s">
        <v>1242</v>
      </c>
      <c r="M76" s="341" t="s">
        <v>480</v>
      </c>
      <c r="N76" s="341" t="s">
        <v>518</v>
      </c>
      <c r="O76" s="341">
        <v>1005611140</v>
      </c>
      <c r="P76" s="341" t="s">
        <v>1507</v>
      </c>
      <c r="Q76" s="390" t="s">
        <v>178</v>
      </c>
      <c r="R76" s="390">
        <v>3010</v>
      </c>
    </row>
    <row r="77" spans="1:18" ht="18.75" customHeight="1" x14ac:dyDescent="0.2">
      <c r="A77" s="388" t="s">
        <v>1520</v>
      </c>
      <c r="B77" s="388" t="s">
        <v>1521</v>
      </c>
      <c r="C77" s="389">
        <v>2011</v>
      </c>
      <c r="D77" s="390" t="s">
        <v>451</v>
      </c>
      <c r="E77" s="391" t="s">
        <v>275</v>
      </c>
      <c r="F77" s="392"/>
      <c r="G77" s="392">
        <v>8126007096</v>
      </c>
      <c r="H77" s="392" t="s">
        <v>804</v>
      </c>
      <c r="I77" s="393" t="s">
        <v>765</v>
      </c>
      <c r="J77" s="392"/>
      <c r="K77" s="341" t="s">
        <v>713</v>
      </c>
      <c r="L77" s="341"/>
      <c r="M77" s="341"/>
      <c r="N77" s="341"/>
      <c r="O77" s="341"/>
      <c r="P77" s="341"/>
      <c r="Q77" s="390" t="s">
        <v>1521</v>
      </c>
      <c r="R77" s="390">
        <v>2011</v>
      </c>
    </row>
    <row r="78" spans="1:18" ht="18.75" customHeight="1" x14ac:dyDescent="0.2">
      <c r="A78" s="388" t="s">
        <v>1020</v>
      </c>
      <c r="B78" s="388" t="s">
        <v>760</v>
      </c>
      <c r="C78" s="389">
        <v>3030</v>
      </c>
      <c r="D78" s="390" t="s">
        <v>1356</v>
      </c>
      <c r="E78" s="391" t="s">
        <v>761</v>
      </c>
      <c r="F78" s="392"/>
      <c r="G78" s="392">
        <v>8126007132</v>
      </c>
      <c r="H78" s="392" t="s">
        <v>805</v>
      </c>
      <c r="I78" s="393" t="s">
        <v>877</v>
      </c>
      <c r="J78" s="392"/>
      <c r="K78" s="341"/>
      <c r="L78" s="341" t="s">
        <v>1243</v>
      </c>
      <c r="M78" s="341" t="s">
        <v>962</v>
      </c>
      <c r="N78" s="341" t="s">
        <v>961</v>
      </c>
      <c r="O78" s="341">
        <v>1005977695</v>
      </c>
      <c r="P78" s="341"/>
      <c r="Q78" s="390" t="s">
        <v>760</v>
      </c>
      <c r="R78" s="390">
        <v>3030</v>
      </c>
    </row>
    <row r="79" spans="1:18" ht="18.75" customHeight="1" x14ac:dyDescent="0.2">
      <c r="A79" s="388" t="s">
        <v>1021</v>
      </c>
      <c r="B79" s="388" t="s">
        <v>340</v>
      </c>
      <c r="C79" s="389">
        <v>3077</v>
      </c>
      <c r="D79" s="390" t="s">
        <v>443</v>
      </c>
      <c r="E79" s="391" t="s">
        <v>456</v>
      </c>
      <c r="F79" s="392"/>
      <c r="G79" s="392">
        <v>8126006287</v>
      </c>
      <c r="H79" s="392" t="s">
        <v>806</v>
      </c>
      <c r="I79" s="393" t="s">
        <v>612</v>
      </c>
      <c r="J79" s="392"/>
      <c r="K79" s="341" t="s">
        <v>310</v>
      </c>
      <c r="L79" s="341" t="s">
        <v>1724</v>
      </c>
      <c r="M79" s="341" t="s">
        <v>1725</v>
      </c>
      <c r="N79" s="341" t="s">
        <v>1726</v>
      </c>
      <c r="O79" s="341">
        <v>250908</v>
      </c>
      <c r="P79" s="341" t="s">
        <v>1507</v>
      </c>
      <c r="Q79" s="390" t="s">
        <v>340</v>
      </c>
      <c r="R79" s="390">
        <v>3077</v>
      </c>
    </row>
    <row r="80" spans="1:18" ht="18.75" customHeight="1" x14ac:dyDescent="0.2">
      <c r="A80" s="388" t="s">
        <v>1022</v>
      </c>
      <c r="B80" s="388" t="s">
        <v>926</v>
      </c>
      <c r="C80" s="389">
        <v>3010</v>
      </c>
      <c r="D80" s="390" t="s">
        <v>444</v>
      </c>
      <c r="E80" s="391" t="s">
        <v>368</v>
      </c>
      <c r="F80" s="392"/>
      <c r="G80" s="392">
        <v>8126007135</v>
      </c>
      <c r="H80" s="392" t="s">
        <v>927</v>
      </c>
      <c r="I80" s="393" t="s">
        <v>1276</v>
      </c>
      <c r="J80" s="392"/>
      <c r="K80" s="341"/>
      <c r="L80" s="341" t="s">
        <v>1244</v>
      </c>
      <c r="M80" s="341" t="s">
        <v>943</v>
      </c>
      <c r="N80" s="341" t="s">
        <v>942</v>
      </c>
      <c r="O80" s="341">
        <v>1005977739</v>
      </c>
      <c r="P80" s="341" t="s">
        <v>1507</v>
      </c>
      <c r="Q80" s="390" t="s">
        <v>926</v>
      </c>
      <c r="R80" s="390">
        <v>3010</v>
      </c>
    </row>
    <row r="81" spans="1:18" ht="18.75" customHeight="1" x14ac:dyDescent="0.2">
      <c r="A81" s="388" t="s">
        <v>1357</v>
      </c>
      <c r="B81" s="388" t="s">
        <v>341</v>
      </c>
      <c r="C81" s="389">
        <v>3078</v>
      </c>
      <c r="D81" s="390" t="s">
        <v>443</v>
      </c>
      <c r="E81" s="391" t="s">
        <v>259</v>
      </c>
      <c r="F81" s="392"/>
      <c r="G81" s="392">
        <v>8126006501</v>
      </c>
      <c r="H81" s="392" t="s">
        <v>807</v>
      </c>
      <c r="I81" s="393" t="s">
        <v>611</v>
      </c>
      <c r="J81" s="392"/>
      <c r="K81" s="341" t="s">
        <v>310</v>
      </c>
      <c r="L81" s="341" t="s">
        <v>1727</v>
      </c>
      <c r="M81" s="341" t="s">
        <v>1728</v>
      </c>
      <c r="N81" s="341" t="s">
        <v>1729</v>
      </c>
      <c r="O81" s="341">
        <v>1005611134</v>
      </c>
      <c r="P81" s="341" t="s">
        <v>1507</v>
      </c>
      <c r="Q81" s="390" t="s">
        <v>341</v>
      </c>
      <c r="R81" s="390">
        <v>3078</v>
      </c>
    </row>
    <row r="82" spans="1:18" ht="18.75" customHeight="1" x14ac:dyDescent="0.2">
      <c r="A82" s="354" t="s">
        <v>1023</v>
      </c>
      <c r="B82" s="354" t="s">
        <v>342</v>
      </c>
      <c r="C82" s="354">
        <v>3073</v>
      </c>
      <c r="D82" s="394" t="s">
        <v>443</v>
      </c>
      <c r="E82" s="377" t="s">
        <v>380</v>
      </c>
      <c r="F82" s="355"/>
      <c r="G82" s="355">
        <v>8126006398</v>
      </c>
      <c r="H82" s="359" t="s">
        <v>808</v>
      </c>
      <c r="I82" s="359" t="s">
        <v>935</v>
      </c>
      <c r="J82" s="356"/>
      <c r="K82" s="357" t="s">
        <v>310</v>
      </c>
      <c r="L82" s="357"/>
      <c r="M82" s="357"/>
      <c r="N82" s="358"/>
      <c r="O82" s="359"/>
      <c r="P82" s="383" t="s">
        <v>1507</v>
      </c>
      <c r="Q82" s="354" t="s">
        <v>342</v>
      </c>
      <c r="R82" s="354">
        <v>3073</v>
      </c>
    </row>
    <row r="83" spans="1:18" ht="18.75" customHeight="1" x14ac:dyDescent="0.2">
      <c r="A83" s="388" t="s">
        <v>1024</v>
      </c>
      <c r="B83" s="388" t="s">
        <v>457</v>
      </c>
      <c r="C83" s="389">
        <v>3010</v>
      </c>
      <c r="D83" s="390" t="s">
        <v>443</v>
      </c>
      <c r="E83" s="391" t="s">
        <v>458</v>
      </c>
      <c r="F83" s="392"/>
      <c r="G83" s="392">
        <v>8126007074</v>
      </c>
      <c r="H83" s="392" t="s">
        <v>809</v>
      </c>
      <c r="I83" s="393" t="s">
        <v>1276</v>
      </c>
      <c r="J83" s="392"/>
      <c r="K83" s="341" t="s">
        <v>310</v>
      </c>
      <c r="L83" s="341" t="s">
        <v>1237</v>
      </c>
      <c r="M83" s="341" t="s">
        <v>939</v>
      </c>
      <c r="N83" s="341" t="s">
        <v>938</v>
      </c>
      <c r="O83" s="341">
        <v>1005977773</v>
      </c>
      <c r="P83" s="341" t="s">
        <v>1507</v>
      </c>
      <c r="Q83" s="390" t="s">
        <v>457</v>
      </c>
      <c r="R83" s="390">
        <v>3010</v>
      </c>
    </row>
    <row r="84" spans="1:18" ht="18.75" customHeight="1" x14ac:dyDescent="0.2">
      <c r="A84" s="388" t="s">
        <v>1677</v>
      </c>
      <c r="B84" s="388" t="s">
        <v>1678</v>
      </c>
      <c r="C84" s="389">
        <v>3010</v>
      </c>
      <c r="D84" s="390" t="s">
        <v>443</v>
      </c>
      <c r="E84" s="391" t="s">
        <v>257</v>
      </c>
      <c r="F84" s="392"/>
      <c r="G84" s="392">
        <v>8126007204</v>
      </c>
      <c r="H84" s="392" t="s">
        <v>1849</v>
      </c>
      <c r="I84" s="393" t="s">
        <v>1276</v>
      </c>
      <c r="J84" s="392"/>
      <c r="K84" s="341"/>
      <c r="L84" s="341" t="s">
        <v>1730</v>
      </c>
      <c r="M84" s="341" t="s">
        <v>1731</v>
      </c>
      <c r="N84" s="341" t="s">
        <v>1732</v>
      </c>
      <c r="O84" s="341"/>
      <c r="P84" s="341" t="s">
        <v>1507</v>
      </c>
      <c r="Q84" s="390" t="s">
        <v>1678</v>
      </c>
      <c r="R84" s="390">
        <v>3010</v>
      </c>
    </row>
    <row r="85" spans="1:18" ht="18.75" customHeight="1" x14ac:dyDescent="0.2">
      <c r="A85" s="388" t="s">
        <v>1562</v>
      </c>
      <c r="B85" s="388" t="s">
        <v>1563</v>
      </c>
      <c r="C85" s="389">
        <v>3010</v>
      </c>
      <c r="D85" s="390" t="s">
        <v>443</v>
      </c>
      <c r="E85" s="391" t="s">
        <v>257</v>
      </c>
      <c r="F85" s="392"/>
      <c r="G85" s="392">
        <v>8126006801</v>
      </c>
      <c r="H85" s="392" t="s">
        <v>1564</v>
      </c>
      <c r="I85" s="393" t="s">
        <v>1276</v>
      </c>
      <c r="J85" s="392"/>
      <c r="K85" s="341"/>
      <c r="L85" s="341" t="s">
        <v>1620</v>
      </c>
      <c r="M85" s="341" t="s">
        <v>1621</v>
      </c>
      <c r="N85" s="341" t="s">
        <v>1622</v>
      </c>
      <c r="O85" s="341">
        <v>1005977736</v>
      </c>
      <c r="P85" s="341" t="s">
        <v>1507</v>
      </c>
      <c r="Q85" s="390" t="s">
        <v>1563</v>
      </c>
      <c r="R85" s="390">
        <v>3010</v>
      </c>
    </row>
    <row r="86" spans="1:18" ht="18.75" customHeight="1" x14ac:dyDescent="0.2">
      <c r="A86" s="388" t="s">
        <v>1025</v>
      </c>
      <c r="B86" s="388" t="s">
        <v>944</v>
      </c>
      <c r="C86" s="389">
        <v>3000</v>
      </c>
      <c r="D86" s="390" t="s">
        <v>445</v>
      </c>
      <c r="E86" s="391" t="s">
        <v>245</v>
      </c>
      <c r="F86" s="392"/>
      <c r="G86" s="392">
        <v>0</v>
      </c>
      <c r="H86" s="392" t="s">
        <v>945</v>
      </c>
      <c r="I86" s="393" t="s">
        <v>1276</v>
      </c>
      <c r="J86" s="392"/>
      <c r="K86" s="341"/>
      <c r="L86" s="341"/>
      <c r="M86" s="341"/>
      <c r="N86" s="341"/>
      <c r="O86" s="341"/>
      <c r="P86" s="341" t="s">
        <v>1507</v>
      </c>
      <c r="Q86" s="390" t="s">
        <v>944</v>
      </c>
      <c r="R86" s="390">
        <v>3000</v>
      </c>
    </row>
    <row r="87" spans="1:18" ht="18.75" customHeight="1" x14ac:dyDescent="0.2">
      <c r="A87" s="354" t="s">
        <v>1026</v>
      </c>
      <c r="B87" s="354" t="s">
        <v>343</v>
      </c>
      <c r="C87" s="354">
        <v>3076</v>
      </c>
      <c r="D87" s="394" t="s">
        <v>443</v>
      </c>
      <c r="E87" s="377" t="s">
        <v>381</v>
      </c>
      <c r="F87" s="355"/>
      <c r="G87" s="355">
        <v>8126006603</v>
      </c>
      <c r="H87" s="359" t="s">
        <v>810</v>
      </c>
      <c r="I87" s="359" t="s">
        <v>1220</v>
      </c>
      <c r="J87" s="356"/>
      <c r="K87" s="357" t="s">
        <v>310</v>
      </c>
      <c r="L87" s="357"/>
      <c r="M87" s="357"/>
      <c r="N87" s="358"/>
      <c r="O87" s="359"/>
      <c r="P87" s="383" t="s">
        <v>1507</v>
      </c>
      <c r="Q87" s="354" t="s">
        <v>343</v>
      </c>
      <c r="R87" s="354">
        <v>3076</v>
      </c>
    </row>
    <row r="88" spans="1:18" ht="18.75" customHeight="1" x14ac:dyDescent="0.2">
      <c r="A88" s="388" t="s">
        <v>1027</v>
      </c>
      <c r="B88" s="388" t="s">
        <v>179</v>
      </c>
      <c r="C88" s="389">
        <v>3072</v>
      </c>
      <c r="D88" s="390" t="s">
        <v>443</v>
      </c>
      <c r="E88" s="391" t="s">
        <v>262</v>
      </c>
      <c r="F88" s="392"/>
      <c r="G88" s="392">
        <v>8126006596</v>
      </c>
      <c r="H88" s="392" t="s">
        <v>811</v>
      </c>
      <c r="I88" s="393" t="s">
        <v>766</v>
      </c>
      <c r="J88" s="392"/>
      <c r="K88" s="341" t="s">
        <v>310</v>
      </c>
      <c r="L88" s="341" t="s">
        <v>1449</v>
      </c>
      <c r="M88" s="341" t="s">
        <v>1450</v>
      </c>
      <c r="N88" s="341" t="s">
        <v>1451</v>
      </c>
      <c r="O88" s="341">
        <v>1005611136</v>
      </c>
      <c r="P88" s="341" t="s">
        <v>1507</v>
      </c>
      <c r="Q88" s="390" t="s">
        <v>179</v>
      </c>
      <c r="R88" s="390">
        <v>3072</v>
      </c>
    </row>
    <row r="89" spans="1:18" ht="18.75" customHeight="1" x14ac:dyDescent="0.2">
      <c r="A89" s="388" t="s">
        <v>1028</v>
      </c>
      <c r="B89" s="388" t="s">
        <v>656</v>
      </c>
      <c r="C89" s="389">
        <v>4040</v>
      </c>
      <c r="D89" s="390" t="s">
        <v>1522</v>
      </c>
      <c r="E89" s="391" t="s">
        <v>250</v>
      </c>
      <c r="F89" s="392"/>
      <c r="G89" s="392">
        <v>8126007113</v>
      </c>
      <c r="H89" s="392" t="s">
        <v>812</v>
      </c>
      <c r="I89" s="393" t="s">
        <v>1326</v>
      </c>
      <c r="J89" s="392"/>
      <c r="K89" s="341" t="s">
        <v>714</v>
      </c>
      <c r="L89" s="341"/>
      <c r="M89" s="341"/>
      <c r="N89" s="341"/>
      <c r="O89" s="341"/>
      <c r="P89" s="341"/>
      <c r="Q89" s="390" t="s">
        <v>656</v>
      </c>
      <c r="R89" s="390">
        <v>4040</v>
      </c>
    </row>
    <row r="90" spans="1:18" ht="18.75" customHeight="1" x14ac:dyDescent="0.2">
      <c r="A90" s="388" t="s">
        <v>1679</v>
      </c>
      <c r="B90" s="388" t="s">
        <v>1680</v>
      </c>
      <c r="C90" s="389">
        <v>3076</v>
      </c>
      <c r="D90" s="390" t="s">
        <v>443</v>
      </c>
      <c r="E90" s="391" t="s">
        <v>381</v>
      </c>
      <c r="F90" s="392"/>
      <c r="G90" s="392">
        <v>8126007142</v>
      </c>
      <c r="H90" s="392" t="s">
        <v>968</v>
      </c>
      <c r="I90" s="393" t="s">
        <v>1220</v>
      </c>
      <c r="J90" s="392"/>
      <c r="K90" s="341" t="s">
        <v>310</v>
      </c>
      <c r="L90" s="341" t="s">
        <v>1214</v>
      </c>
      <c r="M90" s="341" t="s">
        <v>666</v>
      </c>
      <c r="N90" s="341" t="s">
        <v>665</v>
      </c>
      <c r="O90" s="341" t="s">
        <v>1494</v>
      </c>
      <c r="P90" s="341" t="s">
        <v>1507</v>
      </c>
      <c r="Q90" s="390" t="s">
        <v>1680</v>
      </c>
      <c r="R90" s="390">
        <v>3076</v>
      </c>
    </row>
    <row r="91" spans="1:18" ht="18.75" customHeight="1" x14ac:dyDescent="0.2">
      <c r="A91" s="388" t="s">
        <v>1358</v>
      </c>
      <c r="B91" s="388" t="s">
        <v>1359</v>
      </c>
      <c r="C91" s="389">
        <v>2060</v>
      </c>
      <c r="D91" s="390" t="s">
        <v>447</v>
      </c>
      <c r="E91" s="391" t="s">
        <v>261</v>
      </c>
      <c r="F91" s="392"/>
      <c r="G91" s="392">
        <v>8126007173</v>
      </c>
      <c r="H91" s="392" t="s">
        <v>1360</v>
      </c>
      <c r="I91" s="393" t="s">
        <v>765</v>
      </c>
      <c r="J91" s="392"/>
      <c r="K91" s="341"/>
      <c r="L91" s="341"/>
      <c r="M91" s="341"/>
      <c r="N91" s="341"/>
      <c r="O91" s="341"/>
      <c r="P91" s="341"/>
      <c r="Q91" s="390" t="s">
        <v>1359</v>
      </c>
      <c r="R91" s="390">
        <v>2060</v>
      </c>
    </row>
    <row r="92" spans="1:18" ht="18.75" customHeight="1" x14ac:dyDescent="0.2">
      <c r="A92" s="388" t="s">
        <v>1029</v>
      </c>
      <c r="B92" s="388" t="s">
        <v>180</v>
      </c>
      <c r="C92" s="389">
        <v>3000</v>
      </c>
      <c r="D92" s="390" t="s">
        <v>443</v>
      </c>
      <c r="E92" s="391" t="s">
        <v>1361</v>
      </c>
      <c r="F92" s="392"/>
      <c r="G92" s="392">
        <v>8126006666</v>
      </c>
      <c r="H92" s="392" t="s">
        <v>813</v>
      </c>
      <c r="I92" s="393" t="s">
        <v>1276</v>
      </c>
      <c r="J92" s="392"/>
      <c r="K92" s="341" t="s">
        <v>310</v>
      </c>
      <c r="L92" s="341" t="s">
        <v>1287</v>
      </c>
      <c r="M92" s="341" t="s">
        <v>963</v>
      </c>
      <c r="N92" s="341" t="s">
        <v>1286</v>
      </c>
      <c r="O92" s="341">
        <v>1005977676</v>
      </c>
      <c r="P92" s="341" t="s">
        <v>1507</v>
      </c>
      <c r="Q92" s="390" t="s">
        <v>180</v>
      </c>
      <c r="R92" s="390">
        <v>3000</v>
      </c>
    </row>
    <row r="93" spans="1:18" ht="18.75" customHeight="1" x14ac:dyDescent="0.2">
      <c r="A93" s="388" t="s">
        <v>1362</v>
      </c>
      <c r="B93" s="388" t="s">
        <v>344</v>
      </c>
      <c r="C93" s="389">
        <v>3010</v>
      </c>
      <c r="D93" s="390" t="s">
        <v>444</v>
      </c>
      <c r="E93" s="391" t="s">
        <v>371</v>
      </c>
      <c r="F93" s="392"/>
      <c r="G93" s="392">
        <v>8126006401</v>
      </c>
      <c r="H93" s="392" t="s">
        <v>814</v>
      </c>
      <c r="I93" s="393" t="s">
        <v>1276</v>
      </c>
      <c r="J93" s="392"/>
      <c r="K93" s="341" t="s">
        <v>310</v>
      </c>
      <c r="L93" s="341" t="s">
        <v>1365</v>
      </c>
      <c r="M93" s="341" t="s">
        <v>1364</v>
      </c>
      <c r="N93" s="341" t="s">
        <v>1363</v>
      </c>
      <c r="O93" s="341">
        <v>1005611179</v>
      </c>
      <c r="P93" s="341" t="s">
        <v>1507</v>
      </c>
      <c r="Q93" s="390" t="s">
        <v>344</v>
      </c>
      <c r="R93" s="390">
        <v>3010</v>
      </c>
    </row>
    <row r="94" spans="1:18" ht="18.75" customHeight="1" x14ac:dyDescent="0.2">
      <c r="A94" s="388" t="s">
        <v>1366</v>
      </c>
      <c r="B94" s="388" t="s">
        <v>181</v>
      </c>
      <c r="C94" s="389">
        <v>3010</v>
      </c>
      <c r="D94" s="390" t="s">
        <v>443</v>
      </c>
      <c r="E94" s="391" t="s">
        <v>276</v>
      </c>
      <c r="F94" s="392"/>
      <c r="G94" s="392">
        <v>8126006528</v>
      </c>
      <c r="H94" s="392" t="s">
        <v>815</v>
      </c>
      <c r="I94" s="393" t="s">
        <v>1276</v>
      </c>
      <c r="J94" s="392"/>
      <c r="K94" s="341" t="s">
        <v>310</v>
      </c>
      <c r="L94" s="341" t="s">
        <v>1733</v>
      </c>
      <c r="M94" s="341" t="s">
        <v>1734</v>
      </c>
      <c r="N94" s="341" t="s">
        <v>1735</v>
      </c>
      <c r="O94" s="341">
        <v>1005611190</v>
      </c>
      <c r="P94" s="341" t="s">
        <v>1507</v>
      </c>
      <c r="Q94" s="390" t="s">
        <v>181</v>
      </c>
      <c r="R94" s="390">
        <v>3010</v>
      </c>
    </row>
    <row r="95" spans="1:18" ht="18.75" customHeight="1" x14ac:dyDescent="0.2">
      <c r="A95" s="388" t="s">
        <v>1030</v>
      </c>
      <c r="B95" s="388" t="s">
        <v>182</v>
      </c>
      <c r="C95" s="389">
        <v>6020</v>
      </c>
      <c r="D95" s="390" t="s">
        <v>459</v>
      </c>
      <c r="E95" s="391" t="s">
        <v>264</v>
      </c>
      <c r="F95" s="392" t="s">
        <v>520</v>
      </c>
      <c r="G95" s="392">
        <v>8126006261</v>
      </c>
      <c r="H95" s="392" t="s">
        <v>816</v>
      </c>
      <c r="I95" s="393" t="s">
        <v>609</v>
      </c>
      <c r="J95" s="392"/>
      <c r="K95" s="341" t="s">
        <v>715</v>
      </c>
      <c r="L95" s="341"/>
      <c r="M95" s="341"/>
      <c r="N95" s="341"/>
      <c r="O95" s="341"/>
      <c r="P95" s="341"/>
      <c r="Q95" s="390" t="s">
        <v>182</v>
      </c>
      <c r="R95" s="390">
        <v>6020</v>
      </c>
    </row>
    <row r="96" spans="1:18" ht="18.75" customHeight="1" x14ac:dyDescent="0.2">
      <c r="A96" s="388" t="s">
        <v>1933</v>
      </c>
      <c r="B96" s="388" t="s">
        <v>1934</v>
      </c>
      <c r="C96" s="389">
        <v>3078</v>
      </c>
      <c r="D96" s="390" t="s">
        <v>443</v>
      </c>
      <c r="E96" s="395" t="s">
        <v>1935</v>
      </c>
      <c r="F96" s="392"/>
      <c r="G96" s="392"/>
      <c r="H96" s="392"/>
      <c r="I96" s="393" t="s">
        <v>611</v>
      </c>
      <c r="J96" s="392"/>
      <c r="K96" s="341"/>
      <c r="L96" s="341" t="s">
        <v>1275</v>
      </c>
      <c r="M96" s="341" t="s">
        <v>474</v>
      </c>
      <c r="N96" s="341" t="s">
        <v>509</v>
      </c>
      <c r="O96" s="341">
        <v>1005977714</v>
      </c>
      <c r="P96" s="341" t="s">
        <v>1507</v>
      </c>
      <c r="Q96" s="390" t="s">
        <v>1934</v>
      </c>
      <c r="R96" s="390">
        <v>3078</v>
      </c>
    </row>
    <row r="97" spans="1:18" ht="18.75" customHeight="1" x14ac:dyDescent="0.2">
      <c r="A97" s="388" t="s">
        <v>1031</v>
      </c>
      <c r="B97" s="388" t="s">
        <v>183</v>
      </c>
      <c r="C97" s="389">
        <v>5001</v>
      </c>
      <c r="D97" s="390" t="s">
        <v>1335</v>
      </c>
      <c r="E97" s="391" t="s">
        <v>667</v>
      </c>
      <c r="F97" s="392"/>
      <c r="G97" s="392">
        <v>8126006436</v>
      </c>
      <c r="H97" s="392" t="s">
        <v>817</v>
      </c>
      <c r="I97" s="393" t="s">
        <v>616</v>
      </c>
      <c r="J97" s="392"/>
      <c r="K97" s="341" t="s">
        <v>310</v>
      </c>
      <c r="L97" s="341"/>
      <c r="M97" s="341"/>
      <c r="N97" s="341"/>
      <c r="O97" s="341"/>
      <c r="P97" s="341"/>
      <c r="Q97" s="390" t="s">
        <v>183</v>
      </c>
      <c r="R97" s="390">
        <v>5001</v>
      </c>
    </row>
    <row r="98" spans="1:18" ht="18.75" customHeight="1" x14ac:dyDescent="0.2">
      <c r="A98" s="388" t="s">
        <v>1032</v>
      </c>
      <c r="B98" s="388" t="s">
        <v>636</v>
      </c>
      <c r="C98" s="389">
        <v>3072</v>
      </c>
      <c r="D98" s="390" t="s">
        <v>443</v>
      </c>
      <c r="E98" s="391" t="s">
        <v>668</v>
      </c>
      <c r="F98" s="392"/>
      <c r="G98" s="392">
        <v>8126007099</v>
      </c>
      <c r="H98" s="392" t="s">
        <v>818</v>
      </c>
      <c r="I98" s="393" t="s">
        <v>766</v>
      </c>
      <c r="J98" s="392"/>
      <c r="K98" s="341">
        <v>0</v>
      </c>
      <c r="L98" s="341" t="s">
        <v>1369</v>
      </c>
      <c r="M98" s="341" t="s">
        <v>1368</v>
      </c>
      <c r="N98" s="341" t="s">
        <v>1367</v>
      </c>
      <c r="O98" s="341">
        <v>1005611191</v>
      </c>
      <c r="P98" s="341" t="s">
        <v>1507</v>
      </c>
      <c r="Q98" s="390" t="s">
        <v>636</v>
      </c>
      <c r="R98" s="390">
        <v>3072</v>
      </c>
    </row>
    <row r="99" spans="1:18" ht="18.75" customHeight="1" x14ac:dyDescent="0.2">
      <c r="A99" s="388" t="s">
        <v>1681</v>
      </c>
      <c r="B99" s="388" t="s">
        <v>1682</v>
      </c>
      <c r="C99" s="389">
        <v>3000</v>
      </c>
      <c r="D99" s="390" t="s">
        <v>445</v>
      </c>
      <c r="E99" s="391" t="s">
        <v>245</v>
      </c>
      <c r="F99" s="392"/>
      <c r="G99" s="392"/>
      <c r="H99" s="392" t="s">
        <v>1850</v>
      </c>
      <c r="I99" s="393" t="s">
        <v>1276</v>
      </c>
      <c r="J99" s="392"/>
      <c r="K99" s="341"/>
      <c r="L99" s="341"/>
      <c r="M99" s="341"/>
      <c r="N99" s="341"/>
      <c r="O99" s="341"/>
      <c r="P99" s="341" t="s">
        <v>1507</v>
      </c>
      <c r="Q99" s="390" t="s">
        <v>1682</v>
      </c>
      <c r="R99" s="390">
        <v>3000</v>
      </c>
    </row>
    <row r="100" spans="1:18" ht="18.75" customHeight="1" x14ac:dyDescent="0.2">
      <c r="A100" s="388" t="s">
        <v>1033</v>
      </c>
      <c r="B100" s="388" t="s">
        <v>637</v>
      </c>
      <c r="C100" s="389">
        <v>3070</v>
      </c>
      <c r="D100" s="390" t="s">
        <v>443</v>
      </c>
      <c r="E100" s="391" t="s">
        <v>669</v>
      </c>
      <c r="F100" s="392"/>
      <c r="G100" s="392">
        <v>8126007101</v>
      </c>
      <c r="H100" s="392" t="s">
        <v>819</v>
      </c>
      <c r="I100" s="393" t="s">
        <v>615</v>
      </c>
      <c r="J100" s="392"/>
      <c r="K100" s="341" t="s">
        <v>310</v>
      </c>
      <c r="L100" s="341" t="s">
        <v>1736</v>
      </c>
      <c r="M100" s="341" t="s">
        <v>1737</v>
      </c>
      <c r="N100" s="341" t="s">
        <v>1738</v>
      </c>
      <c r="O100" s="341">
        <v>1005611175</v>
      </c>
      <c r="P100" s="341" t="s">
        <v>1507</v>
      </c>
      <c r="Q100" s="390" t="s">
        <v>637</v>
      </c>
      <c r="R100" s="390">
        <v>3070</v>
      </c>
    </row>
    <row r="101" spans="1:18" ht="18.75" customHeight="1" x14ac:dyDescent="0.2">
      <c r="A101" s="388" t="s">
        <v>1034</v>
      </c>
      <c r="B101" s="388" t="s">
        <v>964</v>
      </c>
      <c r="C101" s="389">
        <v>3010</v>
      </c>
      <c r="D101" s="390" t="s">
        <v>444</v>
      </c>
      <c r="E101" s="391" t="s">
        <v>368</v>
      </c>
      <c r="F101" s="392"/>
      <c r="G101" s="392">
        <v>8126007166</v>
      </c>
      <c r="H101" s="392" t="s">
        <v>967</v>
      </c>
      <c r="I101" s="393" t="s">
        <v>1276</v>
      </c>
      <c r="J101" s="392"/>
      <c r="K101" s="341" t="s">
        <v>310</v>
      </c>
      <c r="L101" s="341" t="s">
        <v>1245</v>
      </c>
      <c r="M101" s="341" t="s">
        <v>966</v>
      </c>
      <c r="N101" s="341" t="s">
        <v>965</v>
      </c>
      <c r="O101" s="341" t="s">
        <v>1492</v>
      </c>
      <c r="P101" s="341" t="s">
        <v>1507</v>
      </c>
      <c r="Q101" s="390" t="s">
        <v>964</v>
      </c>
      <c r="R101" s="390">
        <v>3010</v>
      </c>
    </row>
    <row r="102" spans="1:18" ht="18.75" customHeight="1" x14ac:dyDescent="0.2">
      <c r="A102" s="354" t="s">
        <v>1035</v>
      </c>
      <c r="B102" s="354" t="s">
        <v>184</v>
      </c>
      <c r="C102" s="354">
        <v>3030</v>
      </c>
      <c r="D102" s="394" t="s">
        <v>449</v>
      </c>
      <c r="E102" s="377" t="s">
        <v>1370</v>
      </c>
      <c r="F102" s="355" t="s">
        <v>521</v>
      </c>
      <c r="G102" s="355">
        <v>8126006522</v>
      </c>
      <c r="H102" s="359" t="s">
        <v>820</v>
      </c>
      <c r="I102" s="359" t="s">
        <v>877</v>
      </c>
      <c r="J102" s="356"/>
      <c r="K102" s="357"/>
      <c r="L102" s="357"/>
      <c r="M102" s="357"/>
      <c r="N102" s="358"/>
      <c r="O102" s="359"/>
      <c r="P102" s="383"/>
      <c r="Q102" s="354" t="s">
        <v>184</v>
      </c>
      <c r="R102" s="354">
        <v>3030</v>
      </c>
    </row>
    <row r="103" spans="1:18" ht="18.75" customHeight="1" x14ac:dyDescent="0.2">
      <c r="A103" s="388" t="s">
        <v>1036</v>
      </c>
      <c r="B103" s="388" t="s">
        <v>185</v>
      </c>
      <c r="C103" s="389">
        <v>3030</v>
      </c>
      <c r="D103" s="390" t="s">
        <v>1356</v>
      </c>
      <c r="E103" s="391" t="s">
        <v>266</v>
      </c>
      <c r="F103" s="392" t="s">
        <v>1181</v>
      </c>
      <c r="G103" s="392">
        <v>8126006192</v>
      </c>
      <c r="H103" s="392" t="s">
        <v>821</v>
      </c>
      <c r="I103" s="393" t="s">
        <v>877</v>
      </c>
      <c r="J103" s="392"/>
      <c r="K103" s="341" t="s">
        <v>716</v>
      </c>
      <c r="L103" s="341" t="s">
        <v>1246</v>
      </c>
      <c r="M103" s="341" t="s">
        <v>499</v>
      </c>
      <c r="N103" s="341" t="s">
        <v>522</v>
      </c>
      <c r="O103" s="341">
        <v>1005977688</v>
      </c>
      <c r="P103" s="341"/>
      <c r="Q103" s="390" t="s">
        <v>185</v>
      </c>
      <c r="R103" s="390">
        <v>3030</v>
      </c>
    </row>
    <row r="104" spans="1:18" ht="18.75" customHeight="1" x14ac:dyDescent="0.2">
      <c r="A104" s="388" t="s">
        <v>1037</v>
      </c>
      <c r="B104" s="388" t="s">
        <v>762</v>
      </c>
      <c r="C104" s="389">
        <v>3010</v>
      </c>
      <c r="D104" s="390" t="s">
        <v>444</v>
      </c>
      <c r="E104" s="391" t="s">
        <v>371</v>
      </c>
      <c r="F104" s="392"/>
      <c r="G104" s="392">
        <v>8126007134</v>
      </c>
      <c r="H104" s="392" t="s">
        <v>822</v>
      </c>
      <c r="I104" s="393" t="s">
        <v>1276</v>
      </c>
      <c r="J104" s="392"/>
      <c r="K104" s="341" t="s">
        <v>717</v>
      </c>
      <c r="L104" s="341" t="s">
        <v>1247</v>
      </c>
      <c r="M104" s="341" t="s">
        <v>655</v>
      </c>
      <c r="N104" s="341" t="s">
        <v>653</v>
      </c>
      <c r="O104" s="341" t="s">
        <v>654</v>
      </c>
      <c r="P104" s="341" t="s">
        <v>1507</v>
      </c>
      <c r="Q104" s="390" t="s">
        <v>762</v>
      </c>
      <c r="R104" s="390">
        <v>3010</v>
      </c>
    </row>
    <row r="105" spans="1:18" ht="18.75" customHeight="1" x14ac:dyDescent="0.2">
      <c r="A105" s="388" t="s">
        <v>1883</v>
      </c>
      <c r="B105" s="388" t="s">
        <v>1884</v>
      </c>
      <c r="C105" s="389">
        <v>4000</v>
      </c>
      <c r="D105" s="390" t="s">
        <v>194</v>
      </c>
      <c r="E105" s="391" t="s">
        <v>677</v>
      </c>
      <c r="F105" s="392"/>
      <c r="G105" s="392"/>
      <c r="H105" s="392"/>
      <c r="I105" s="393" t="s">
        <v>610</v>
      </c>
      <c r="J105" s="392"/>
      <c r="K105" s="341"/>
      <c r="L105" s="341"/>
      <c r="M105" s="341"/>
      <c r="N105" s="341"/>
      <c r="O105" s="341"/>
      <c r="P105" s="341"/>
      <c r="Q105" s="390" t="s">
        <v>1884</v>
      </c>
      <c r="R105" s="390">
        <v>4000</v>
      </c>
    </row>
    <row r="106" spans="1:18" ht="18.75" customHeight="1" x14ac:dyDescent="0.2">
      <c r="A106" s="388" t="s">
        <v>1038</v>
      </c>
      <c r="B106" s="388" t="s">
        <v>751</v>
      </c>
      <c r="C106" s="389">
        <v>3072</v>
      </c>
      <c r="D106" s="390" t="s">
        <v>443</v>
      </c>
      <c r="E106" s="391" t="s">
        <v>1371</v>
      </c>
      <c r="F106" s="392" t="s">
        <v>1288</v>
      </c>
      <c r="G106" s="392">
        <v>8126007118</v>
      </c>
      <c r="H106" s="392" t="s">
        <v>766</v>
      </c>
      <c r="I106" s="393" t="s">
        <v>642</v>
      </c>
      <c r="J106" s="392"/>
      <c r="K106" s="341" t="s">
        <v>310</v>
      </c>
      <c r="L106" s="341" t="s">
        <v>1565</v>
      </c>
      <c r="M106" s="341" t="s">
        <v>1566</v>
      </c>
      <c r="N106" s="341" t="s">
        <v>1567</v>
      </c>
      <c r="O106" s="341">
        <v>1005977741</v>
      </c>
      <c r="P106" s="341" t="s">
        <v>1507</v>
      </c>
      <c r="Q106" s="390" t="s">
        <v>751</v>
      </c>
      <c r="R106" s="390">
        <v>3072</v>
      </c>
    </row>
    <row r="107" spans="1:18" ht="18.75" customHeight="1" x14ac:dyDescent="0.2">
      <c r="A107" s="354" t="s">
        <v>1039</v>
      </c>
      <c r="B107" s="354" t="s">
        <v>345</v>
      </c>
      <c r="C107" s="354">
        <v>3073</v>
      </c>
      <c r="D107" s="394" t="s">
        <v>443</v>
      </c>
      <c r="E107" s="377" t="s">
        <v>384</v>
      </c>
      <c r="F107" s="355"/>
      <c r="G107" s="355">
        <v>8126006290</v>
      </c>
      <c r="H107" s="359" t="s">
        <v>823</v>
      </c>
      <c r="I107" s="359" t="s">
        <v>935</v>
      </c>
      <c r="J107" s="356"/>
      <c r="K107" s="357" t="s">
        <v>310</v>
      </c>
      <c r="L107" s="357"/>
      <c r="M107" s="357"/>
      <c r="N107" s="358"/>
      <c r="O107" s="359"/>
      <c r="P107" s="383" t="s">
        <v>1507</v>
      </c>
      <c r="Q107" s="354" t="s">
        <v>345</v>
      </c>
      <c r="R107" s="354">
        <v>3073</v>
      </c>
    </row>
    <row r="108" spans="1:18" ht="18.75" customHeight="1" x14ac:dyDescent="0.2">
      <c r="A108" s="388" t="s">
        <v>1040</v>
      </c>
      <c r="B108" s="388" t="s">
        <v>186</v>
      </c>
      <c r="C108" s="389">
        <v>3070</v>
      </c>
      <c r="D108" s="390" t="s">
        <v>443</v>
      </c>
      <c r="E108" s="391" t="s">
        <v>385</v>
      </c>
      <c r="F108" s="392"/>
      <c r="G108" s="392">
        <v>8126006421</v>
      </c>
      <c r="H108" s="392" t="s">
        <v>824</v>
      </c>
      <c r="I108" s="393" t="s">
        <v>615</v>
      </c>
      <c r="J108" s="392"/>
      <c r="K108" s="341" t="s">
        <v>310</v>
      </c>
      <c r="L108" s="341" t="s">
        <v>1739</v>
      </c>
      <c r="M108" s="341" t="s">
        <v>1740</v>
      </c>
      <c r="N108" s="341" t="s">
        <v>1741</v>
      </c>
      <c r="O108" s="341">
        <v>1005977763</v>
      </c>
      <c r="P108" s="341" t="s">
        <v>1507</v>
      </c>
      <c r="Q108" s="390" t="s">
        <v>186</v>
      </c>
      <c r="R108" s="390">
        <v>3070</v>
      </c>
    </row>
    <row r="109" spans="1:18" ht="18.75" customHeight="1" x14ac:dyDescent="0.2">
      <c r="A109" s="388" t="s">
        <v>1289</v>
      </c>
      <c r="B109" s="388" t="s">
        <v>1290</v>
      </c>
      <c r="C109" s="389">
        <v>5001</v>
      </c>
      <c r="D109" s="390" t="s">
        <v>1335</v>
      </c>
      <c r="E109" s="391" t="s">
        <v>256</v>
      </c>
      <c r="F109" s="392"/>
      <c r="G109" s="392">
        <v>8126007178</v>
      </c>
      <c r="H109" s="392" t="s">
        <v>1316</v>
      </c>
      <c r="I109" s="393" t="s">
        <v>616</v>
      </c>
      <c r="J109" s="392"/>
      <c r="K109" s="341"/>
      <c r="L109" s="341" t="s">
        <v>1235</v>
      </c>
      <c r="M109" s="341" t="s">
        <v>758</v>
      </c>
      <c r="N109" s="341" t="s">
        <v>757</v>
      </c>
      <c r="O109" s="341">
        <v>1005977689</v>
      </c>
      <c r="P109" s="341" t="s">
        <v>1507</v>
      </c>
      <c r="Q109" s="390" t="s">
        <v>1290</v>
      </c>
      <c r="R109" s="390">
        <v>5001</v>
      </c>
    </row>
    <row r="110" spans="1:18" ht="18.75" customHeight="1" x14ac:dyDescent="0.2">
      <c r="A110" s="388" t="s">
        <v>1166</v>
      </c>
      <c r="B110" s="388" t="s">
        <v>1167</v>
      </c>
      <c r="C110" s="389">
        <v>2020</v>
      </c>
      <c r="D110" s="390" t="s">
        <v>446</v>
      </c>
      <c r="E110" s="391" t="s">
        <v>673</v>
      </c>
      <c r="F110" s="392"/>
      <c r="G110" s="392">
        <v>0</v>
      </c>
      <c r="H110" s="392" t="s">
        <v>1168</v>
      </c>
      <c r="I110" s="393" t="s">
        <v>765</v>
      </c>
      <c r="J110" s="392"/>
      <c r="K110" s="341"/>
      <c r="L110" s="341"/>
      <c r="M110" s="341"/>
      <c r="N110" s="341"/>
      <c r="O110" s="341"/>
      <c r="P110" s="341"/>
      <c r="Q110" s="390" t="s">
        <v>1167</v>
      </c>
      <c r="R110" s="390">
        <v>2020</v>
      </c>
    </row>
    <row r="111" spans="1:18" ht="18.75" customHeight="1" x14ac:dyDescent="0.2">
      <c r="A111" s="388" t="s">
        <v>1291</v>
      </c>
      <c r="B111" s="388" t="s">
        <v>1292</v>
      </c>
      <c r="C111" s="389">
        <v>3070</v>
      </c>
      <c r="D111" s="390" t="s">
        <v>443</v>
      </c>
      <c r="E111" s="391" t="s">
        <v>374</v>
      </c>
      <c r="F111" s="392"/>
      <c r="G111" s="392">
        <v>8126007176</v>
      </c>
      <c r="H111" s="392" t="s">
        <v>1317</v>
      </c>
      <c r="I111" s="393" t="s">
        <v>615</v>
      </c>
      <c r="J111" s="392"/>
      <c r="K111" s="341"/>
      <c r="L111" s="341" t="s">
        <v>1742</v>
      </c>
      <c r="M111" s="341" t="s">
        <v>1743</v>
      </c>
      <c r="N111" s="341" t="s">
        <v>1744</v>
      </c>
      <c r="O111" s="341">
        <v>1005611187</v>
      </c>
      <c r="P111" s="341" t="s">
        <v>1507</v>
      </c>
      <c r="Q111" s="390" t="s">
        <v>1292</v>
      </c>
      <c r="R111" s="390">
        <v>3070</v>
      </c>
    </row>
    <row r="112" spans="1:18" ht="18.75" customHeight="1" x14ac:dyDescent="0.2">
      <c r="A112" s="388" t="s">
        <v>1041</v>
      </c>
      <c r="B112" s="388" t="s">
        <v>622</v>
      </c>
      <c r="C112" s="389">
        <v>3072</v>
      </c>
      <c r="D112" s="390" t="s">
        <v>443</v>
      </c>
      <c r="E112" s="391" t="s">
        <v>670</v>
      </c>
      <c r="F112" s="392"/>
      <c r="G112" s="392">
        <v>8126007080</v>
      </c>
      <c r="H112" s="392" t="s">
        <v>825</v>
      </c>
      <c r="I112" s="393" t="s">
        <v>766</v>
      </c>
      <c r="J112" s="392"/>
      <c r="K112" s="341" t="s">
        <v>310</v>
      </c>
      <c r="L112" s="341" t="s">
        <v>1745</v>
      </c>
      <c r="M112" s="341" t="s">
        <v>1623</v>
      </c>
      <c r="N112" s="341" t="s">
        <v>1746</v>
      </c>
      <c r="O112" s="341">
        <v>1005611178</v>
      </c>
      <c r="P112" s="341" t="s">
        <v>1507</v>
      </c>
      <c r="Q112" s="390" t="s">
        <v>622</v>
      </c>
      <c r="R112" s="390">
        <v>3072</v>
      </c>
    </row>
    <row r="113" spans="1:18" ht="18.399999999999999" customHeight="1" x14ac:dyDescent="0.2">
      <c r="A113" s="388" t="s">
        <v>1042</v>
      </c>
      <c r="B113" s="388" t="s">
        <v>187</v>
      </c>
      <c r="C113" s="389">
        <v>9090</v>
      </c>
      <c r="D113" s="390" t="s">
        <v>1335</v>
      </c>
      <c r="E113" s="391" t="s">
        <v>1372</v>
      </c>
      <c r="F113" s="392"/>
      <c r="G113" s="392">
        <v>8126006229</v>
      </c>
      <c r="H113" s="392" t="s">
        <v>826</v>
      </c>
      <c r="I113" s="393" t="s">
        <v>616</v>
      </c>
      <c r="J113" s="392"/>
      <c r="K113" s="341" t="s">
        <v>718</v>
      </c>
      <c r="L113" s="341"/>
      <c r="M113" s="341"/>
      <c r="N113" s="341"/>
      <c r="O113" s="341"/>
      <c r="P113" s="341"/>
      <c r="Q113" s="390" t="s">
        <v>187</v>
      </c>
      <c r="R113" s="390">
        <v>9090</v>
      </c>
    </row>
    <row r="114" spans="1:18" ht="18.75" customHeight="1" x14ac:dyDescent="0.2">
      <c r="A114" s="388" t="s">
        <v>1043</v>
      </c>
      <c r="B114" s="388" t="s">
        <v>188</v>
      </c>
      <c r="C114" s="389">
        <v>6040</v>
      </c>
      <c r="D114" s="390" t="s">
        <v>242</v>
      </c>
      <c r="E114" s="391" t="s">
        <v>267</v>
      </c>
      <c r="F114" s="392" t="s">
        <v>523</v>
      </c>
      <c r="G114" s="392">
        <v>8126006434</v>
      </c>
      <c r="H114" s="392" t="s">
        <v>827</v>
      </c>
      <c r="I114" s="393" t="s">
        <v>1313</v>
      </c>
      <c r="J114" s="392"/>
      <c r="K114" s="341" t="s">
        <v>719</v>
      </c>
      <c r="L114" s="341"/>
      <c r="M114" s="341"/>
      <c r="N114" s="341"/>
      <c r="O114" s="341"/>
      <c r="P114" s="341"/>
      <c r="Q114" s="390" t="s">
        <v>188</v>
      </c>
      <c r="R114" s="390">
        <v>6040</v>
      </c>
    </row>
    <row r="115" spans="1:18" ht="18.75" customHeight="1" x14ac:dyDescent="0.2">
      <c r="A115" s="388" t="s">
        <v>1747</v>
      </c>
      <c r="B115" s="388" t="s">
        <v>1748</v>
      </c>
      <c r="C115" s="389">
        <v>6000</v>
      </c>
      <c r="D115" s="390" t="s">
        <v>157</v>
      </c>
      <c r="E115" s="395" t="s">
        <v>1936</v>
      </c>
      <c r="F115" s="392"/>
      <c r="G115" s="392"/>
      <c r="H115" s="392" t="s">
        <v>1851</v>
      </c>
      <c r="I115" s="393" t="s">
        <v>1313</v>
      </c>
      <c r="J115" s="392"/>
      <c r="K115" s="341"/>
      <c r="L115" s="341"/>
      <c r="M115" s="341"/>
      <c r="N115" s="341"/>
      <c r="O115" s="341"/>
      <c r="P115" s="341"/>
      <c r="Q115" s="390" t="s">
        <v>1748</v>
      </c>
      <c r="R115" s="390">
        <v>6000</v>
      </c>
    </row>
    <row r="116" spans="1:18" ht="18.75" customHeight="1" x14ac:dyDescent="0.2">
      <c r="A116" s="388" t="s">
        <v>1044</v>
      </c>
      <c r="B116" s="388" t="s">
        <v>657</v>
      </c>
      <c r="C116" s="389">
        <v>3076</v>
      </c>
      <c r="D116" s="390" t="s">
        <v>443</v>
      </c>
      <c r="E116" s="391" t="s">
        <v>671</v>
      </c>
      <c r="F116" s="392"/>
      <c r="G116" s="392">
        <v>8126007107</v>
      </c>
      <c r="H116" s="392" t="s">
        <v>828</v>
      </c>
      <c r="I116" s="393" t="s">
        <v>1220</v>
      </c>
      <c r="J116" s="392"/>
      <c r="K116" s="341" t="s">
        <v>310</v>
      </c>
      <c r="L116" s="341" t="s">
        <v>1885</v>
      </c>
      <c r="M116" s="341" t="s">
        <v>1886</v>
      </c>
      <c r="N116" s="341" t="s">
        <v>1887</v>
      </c>
      <c r="O116" s="341">
        <v>1005611181</v>
      </c>
      <c r="P116" s="341" t="s">
        <v>1507</v>
      </c>
      <c r="Q116" s="390" t="s">
        <v>657</v>
      </c>
      <c r="R116" s="390">
        <v>3076</v>
      </c>
    </row>
    <row r="117" spans="1:18" ht="18.75" customHeight="1" x14ac:dyDescent="0.2">
      <c r="A117" s="388" t="s">
        <v>1452</v>
      </c>
      <c r="B117" s="388" t="s">
        <v>1453</v>
      </c>
      <c r="C117" s="389">
        <v>6020</v>
      </c>
      <c r="D117" s="390" t="s">
        <v>459</v>
      </c>
      <c r="E117" s="391" t="s">
        <v>1523</v>
      </c>
      <c r="F117" s="392"/>
      <c r="G117" s="392">
        <v>0</v>
      </c>
      <c r="H117" s="392" t="s">
        <v>1493</v>
      </c>
      <c r="I117" s="393" t="s">
        <v>609</v>
      </c>
      <c r="J117" s="392"/>
      <c r="K117" s="341"/>
      <c r="L117" s="341"/>
      <c r="M117" s="341"/>
      <c r="N117" s="341"/>
      <c r="O117" s="341"/>
      <c r="P117" s="341"/>
      <c r="Q117" s="390" t="s">
        <v>1453</v>
      </c>
      <c r="R117" s="390">
        <v>6020</v>
      </c>
    </row>
    <row r="118" spans="1:18" ht="18.75" customHeight="1" x14ac:dyDescent="0.2">
      <c r="A118" s="388" t="s">
        <v>1045</v>
      </c>
      <c r="B118" s="388" t="s">
        <v>189</v>
      </c>
      <c r="C118" s="389">
        <v>2560</v>
      </c>
      <c r="D118" s="390" t="s">
        <v>446</v>
      </c>
      <c r="E118" s="391" t="s">
        <v>247</v>
      </c>
      <c r="F118" s="392"/>
      <c r="G118" s="392">
        <v>8126006535</v>
      </c>
      <c r="H118" s="392" t="s">
        <v>829</v>
      </c>
      <c r="I118" s="393" t="s">
        <v>765</v>
      </c>
      <c r="J118" s="392"/>
      <c r="K118" s="341" t="s">
        <v>720</v>
      </c>
      <c r="L118" s="341"/>
      <c r="M118" s="341"/>
      <c r="N118" s="341"/>
      <c r="O118" s="341"/>
      <c r="P118" s="341"/>
      <c r="Q118" s="390" t="s">
        <v>189</v>
      </c>
      <c r="R118" s="390">
        <v>2560</v>
      </c>
    </row>
    <row r="119" spans="1:18" ht="18.75" customHeight="1" x14ac:dyDescent="0.2">
      <c r="A119" s="388" t="s">
        <v>1046</v>
      </c>
      <c r="B119" s="388" t="s">
        <v>190</v>
      </c>
      <c r="C119" s="389">
        <v>9090</v>
      </c>
      <c r="D119" s="390" t="s">
        <v>1335</v>
      </c>
      <c r="E119" s="391" t="s">
        <v>462</v>
      </c>
      <c r="F119" s="392"/>
      <c r="G119" s="392">
        <v>8126006252</v>
      </c>
      <c r="H119" s="392" t="s">
        <v>830</v>
      </c>
      <c r="I119" s="393" t="s">
        <v>616</v>
      </c>
      <c r="J119" s="392"/>
      <c r="K119" s="341" t="s">
        <v>310</v>
      </c>
      <c r="L119" s="341"/>
      <c r="M119" s="341"/>
      <c r="N119" s="341"/>
      <c r="O119" s="341"/>
      <c r="P119" s="341"/>
      <c r="Q119" s="390" t="s">
        <v>190</v>
      </c>
      <c r="R119" s="390">
        <v>9090</v>
      </c>
    </row>
    <row r="120" spans="1:18" ht="18.75" customHeight="1" x14ac:dyDescent="0.2">
      <c r="A120" s="388" t="s">
        <v>1182</v>
      </c>
      <c r="B120" s="388" t="s">
        <v>1183</v>
      </c>
      <c r="C120" s="389">
        <v>3010</v>
      </c>
      <c r="D120" s="390" t="s">
        <v>1330</v>
      </c>
      <c r="E120" s="391" t="s">
        <v>1173</v>
      </c>
      <c r="F120" s="392"/>
      <c r="G120" s="392">
        <v>8126007160</v>
      </c>
      <c r="H120" s="392" t="s">
        <v>887</v>
      </c>
      <c r="I120" s="393" t="s">
        <v>1276</v>
      </c>
      <c r="J120" s="392"/>
      <c r="K120" s="341"/>
      <c r="L120" s="341" t="s">
        <v>1888</v>
      </c>
      <c r="M120" s="341" t="s">
        <v>1889</v>
      </c>
      <c r="N120" s="341" t="s">
        <v>1890</v>
      </c>
      <c r="O120" s="341">
        <v>1005977731</v>
      </c>
      <c r="P120" s="341" t="s">
        <v>1507</v>
      </c>
      <c r="Q120" s="390" t="s">
        <v>1183</v>
      </c>
      <c r="R120" s="390">
        <v>3010</v>
      </c>
    </row>
    <row r="121" spans="1:18" ht="18.75" customHeight="1" x14ac:dyDescent="0.2">
      <c r="A121" s="388" t="s">
        <v>1047</v>
      </c>
      <c r="B121" s="388" t="s">
        <v>429</v>
      </c>
      <c r="C121" s="389">
        <v>3078</v>
      </c>
      <c r="D121" s="390" t="s">
        <v>443</v>
      </c>
      <c r="E121" s="391" t="s">
        <v>383</v>
      </c>
      <c r="F121" s="392"/>
      <c r="G121" s="392">
        <v>8126006396</v>
      </c>
      <c r="H121" s="392" t="s">
        <v>831</v>
      </c>
      <c r="I121" s="393" t="s">
        <v>611</v>
      </c>
      <c r="J121" s="392"/>
      <c r="K121" s="341" t="s">
        <v>310</v>
      </c>
      <c r="L121" s="341" t="s">
        <v>1249</v>
      </c>
      <c r="M121" s="341" t="s">
        <v>644</v>
      </c>
      <c r="N121" s="341" t="s">
        <v>643</v>
      </c>
      <c r="O121" s="341">
        <v>1005611147</v>
      </c>
      <c r="P121" s="341" t="s">
        <v>1507</v>
      </c>
      <c r="Q121" s="390" t="s">
        <v>429</v>
      </c>
      <c r="R121" s="390">
        <v>3078</v>
      </c>
    </row>
    <row r="122" spans="1:18" ht="18.75" customHeight="1" x14ac:dyDescent="0.2">
      <c r="A122" s="388" t="s">
        <v>1048</v>
      </c>
      <c r="B122" s="388" t="s">
        <v>191</v>
      </c>
      <c r="C122" s="389">
        <v>9090</v>
      </c>
      <c r="D122" s="390" t="s">
        <v>1335</v>
      </c>
      <c r="E122" s="391" t="s">
        <v>268</v>
      </c>
      <c r="F122" s="392" t="s">
        <v>525</v>
      </c>
      <c r="G122" s="392">
        <v>8126006378</v>
      </c>
      <c r="H122" s="392" t="s">
        <v>832</v>
      </c>
      <c r="I122" s="393" t="s">
        <v>616</v>
      </c>
      <c r="J122" s="392"/>
      <c r="K122" s="341" t="s">
        <v>721</v>
      </c>
      <c r="L122" s="341" t="s">
        <v>1937</v>
      </c>
      <c r="M122" s="341" t="s">
        <v>1938</v>
      </c>
      <c r="N122" s="341" t="s">
        <v>1939</v>
      </c>
      <c r="O122" s="341">
        <v>1005977711</v>
      </c>
      <c r="P122" s="341"/>
      <c r="Q122" s="390" t="s">
        <v>191</v>
      </c>
      <c r="R122" s="390">
        <v>9090</v>
      </c>
    </row>
    <row r="123" spans="1:18" ht="18.75" customHeight="1" x14ac:dyDescent="0.2">
      <c r="A123" s="388" t="s">
        <v>1049</v>
      </c>
      <c r="B123" s="388" t="s">
        <v>416</v>
      </c>
      <c r="C123" s="389">
        <v>4000</v>
      </c>
      <c r="D123" s="390" t="s">
        <v>1331</v>
      </c>
      <c r="E123" s="391" t="s">
        <v>274</v>
      </c>
      <c r="F123" s="392"/>
      <c r="G123" s="392">
        <v>8126007053</v>
      </c>
      <c r="H123" s="392" t="s">
        <v>833</v>
      </c>
      <c r="I123" s="393" t="s">
        <v>610</v>
      </c>
      <c r="J123" s="392"/>
      <c r="K123" s="341" t="s">
        <v>722</v>
      </c>
      <c r="L123" s="341"/>
      <c r="M123" s="341"/>
      <c r="N123" s="341"/>
      <c r="O123" s="341"/>
      <c r="P123" s="341"/>
      <c r="Q123" s="390" t="s">
        <v>416</v>
      </c>
      <c r="R123" s="390">
        <v>4000</v>
      </c>
    </row>
    <row r="124" spans="1:18" ht="18.75" customHeight="1" x14ac:dyDescent="0.2">
      <c r="A124" s="348" t="s">
        <v>1050</v>
      </c>
      <c r="B124" s="348" t="s">
        <v>645</v>
      </c>
      <c r="C124" s="348">
        <v>3002</v>
      </c>
      <c r="D124" s="396" t="s">
        <v>443</v>
      </c>
      <c r="E124" s="396" t="s">
        <v>1377</v>
      </c>
      <c r="F124" s="350"/>
      <c r="G124" s="350">
        <v>0</v>
      </c>
      <c r="H124" s="350" t="s">
        <v>834</v>
      </c>
      <c r="I124" s="396" t="s">
        <v>1276</v>
      </c>
      <c r="J124" s="351">
        <v>42900010</v>
      </c>
      <c r="K124" s="352" t="s">
        <v>310</v>
      </c>
      <c r="L124" s="352" t="s">
        <v>1294</v>
      </c>
      <c r="M124" s="352" t="s">
        <v>946</v>
      </c>
      <c r="N124" s="353" t="s">
        <v>1293</v>
      </c>
      <c r="O124" s="396" t="s">
        <v>1940</v>
      </c>
      <c r="P124" s="349" t="s">
        <v>1507</v>
      </c>
      <c r="Q124" s="348" t="s">
        <v>645</v>
      </c>
      <c r="R124" s="348">
        <v>3002</v>
      </c>
    </row>
    <row r="125" spans="1:18" ht="18.75" customHeight="1" x14ac:dyDescent="0.2">
      <c r="A125" s="388" t="s">
        <v>1891</v>
      </c>
      <c r="B125" s="388" t="s">
        <v>1892</v>
      </c>
      <c r="C125" s="389">
        <v>1000</v>
      </c>
      <c r="D125" s="390" t="s">
        <v>260</v>
      </c>
      <c r="E125" s="391" t="s">
        <v>1893</v>
      </c>
      <c r="F125" s="392"/>
      <c r="G125" s="392"/>
      <c r="H125" s="392"/>
      <c r="I125" s="393" t="s">
        <v>1313</v>
      </c>
      <c r="J125" s="392"/>
      <c r="K125" s="341"/>
      <c r="L125" s="341"/>
      <c r="M125" s="341"/>
      <c r="N125" s="341"/>
      <c r="O125" s="341"/>
      <c r="P125" s="341" t="s">
        <v>1507</v>
      </c>
      <c r="Q125" s="390" t="s">
        <v>1892</v>
      </c>
      <c r="R125" s="390">
        <v>1000</v>
      </c>
    </row>
    <row r="126" spans="1:18" ht="18.75" customHeight="1" x14ac:dyDescent="0.2">
      <c r="A126" s="388" t="s">
        <v>1051</v>
      </c>
      <c r="B126" s="388" t="s">
        <v>192</v>
      </c>
      <c r="C126" s="389">
        <v>6020</v>
      </c>
      <c r="D126" s="390" t="s">
        <v>459</v>
      </c>
      <c r="E126" s="391" t="s">
        <v>108</v>
      </c>
      <c r="F126" s="392" t="s">
        <v>526</v>
      </c>
      <c r="G126" s="392">
        <v>8126006127</v>
      </c>
      <c r="H126" s="392" t="s">
        <v>609</v>
      </c>
      <c r="I126" s="393" t="s">
        <v>1313</v>
      </c>
      <c r="J126" s="392"/>
      <c r="K126" s="341" t="s">
        <v>723</v>
      </c>
      <c r="L126" s="341"/>
      <c r="M126" s="341"/>
      <c r="N126" s="341"/>
      <c r="O126" s="341"/>
      <c r="P126" s="341"/>
      <c r="Q126" s="390" t="s">
        <v>192</v>
      </c>
      <c r="R126" s="390">
        <v>6020</v>
      </c>
    </row>
    <row r="127" spans="1:18" ht="18.75" customHeight="1" x14ac:dyDescent="0.2">
      <c r="A127" s="388" t="s">
        <v>1052</v>
      </c>
      <c r="B127" s="388" t="s">
        <v>193</v>
      </c>
      <c r="C127" s="389">
        <v>6020</v>
      </c>
      <c r="D127" s="390" t="s">
        <v>459</v>
      </c>
      <c r="E127" s="391" t="s">
        <v>12</v>
      </c>
      <c r="F127" s="392"/>
      <c r="G127" s="392">
        <v>8126006650</v>
      </c>
      <c r="H127" s="392" t="s">
        <v>835</v>
      </c>
      <c r="I127" s="393" t="s">
        <v>609</v>
      </c>
      <c r="J127" s="392"/>
      <c r="K127" s="341" t="s">
        <v>724</v>
      </c>
      <c r="L127" s="341"/>
      <c r="M127" s="341"/>
      <c r="N127" s="341"/>
      <c r="O127" s="341"/>
      <c r="P127" s="341"/>
      <c r="Q127" s="390" t="s">
        <v>193</v>
      </c>
      <c r="R127" s="390">
        <v>6020</v>
      </c>
    </row>
    <row r="128" spans="1:18" ht="18.75" customHeight="1" x14ac:dyDescent="0.2">
      <c r="A128" s="388" t="s">
        <v>1894</v>
      </c>
      <c r="B128" s="388" t="s">
        <v>1895</v>
      </c>
      <c r="C128" s="389">
        <v>5001</v>
      </c>
      <c r="D128" s="390" t="s">
        <v>1335</v>
      </c>
      <c r="E128" s="391" t="s">
        <v>1184</v>
      </c>
      <c r="F128" s="392"/>
      <c r="G128" s="392"/>
      <c r="H128" s="392"/>
      <c r="I128" s="393" t="s">
        <v>616</v>
      </c>
      <c r="J128" s="392"/>
      <c r="K128" s="341"/>
      <c r="L128" s="341"/>
      <c r="M128" s="341"/>
      <c r="N128" s="341"/>
      <c r="O128" s="341"/>
      <c r="P128" s="341"/>
      <c r="Q128" s="390" t="s">
        <v>1895</v>
      </c>
      <c r="R128" s="390">
        <v>5001</v>
      </c>
    </row>
    <row r="129" spans="1:18" ht="18.75" customHeight="1" x14ac:dyDescent="0.2">
      <c r="A129" s="388" t="s">
        <v>1053</v>
      </c>
      <c r="B129" s="388" t="s">
        <v>346</v>
      </c>
      <c r="C129" s="389">
        <v>3070</v>
      </c>
      <c r="D129" s="390" t="s">
        <v>443</v>
      </c>
      <c r="E129" s="391" t="s">
        <v>265</v>
      </c>
      <c r="F129" s="392"/>
      <c r="G129" s="392">
        <v>8126006123</v>
      </c>
      <c r="H129" s="392" t="s">
        <v>836</v>
      </c>
      <c r="I129" s="393" t="s">
        <v>615</v>
      </c>
      <c r="J129" s="392"/>
      <c r="K129" s="341" t="s">
        <v>310</v>
      </c>
      <c r="L129" s="341" t="s">
        <v>1250</v>
      </c>
      <c r="M129" s="341" t="s">
        <v>948</v>
      </c>
      <c r="N129" s="341" t="s">
        <v>947</v>
      </c>
      <c r="O129" s="341" t="s">
        <v>1941</v>
      </c>
      <c r="P129" s="341" t="s">
        <v>1507</v>
      </c>
      <c r="Q129" s="390" t="s">
        <v>346</v>
      </c>
      <c r="R129" s="390">
        <v>3070</v>
      </c>
    </row>
    <row r="130" spans="1:18" ht="18.75" customHeight="1" x14ac:dyDescent="0.2">
      <c r="A130" s="388" t="s">
        <v>1054</v>
      </c>
      <c r="B130" s="388" t="s">
        <v>419</v>
      </c>
      <c r="C130" s="389">
        <v>2020</v>
      </c>
      <c r="D130" s="390" t="s">
        <v>446</v>
      </c>
      <c r="E130" s="391" t="s">
        <v>673</v>
      </c>
      <c r="F130" s="392"/>
      <c r="G130" s="392">
        <v>8126007114</v>
      </c>
      <c r="H130" s="392" t="s">
        <v>837</v>
      </c>
      <c r="I130" s="393" t="s">
        <v>765</v>
      </c>
      <c r="J130" s="392"/>
      <c r="K130" s="341" t="s">
        <v>725</v>
      </c>
      <c r="L130" s="341"/>
      <c r="M130" s="341"/>
      <c r="N130" s="341"/>
      <c r="O130" s="341"/>
      <c r="P130" s="341"/>
      <c r="Q130" s="390" t="s">
        <v>419</v>
      </c>
      <c r="R130" s="390">
        <v>2020</v>
      </c>
    </row>
    <row r="131" spans="1:18" ht="18.75" customHeight="1" x14ac:dyDescent="0.2">
      <c r="A131" s="388" t="s">
        <v>1624</v>
      </c>
      <c r="B131" s="388" t="s">
        <v>1625</v>
      </c>
      <c r="C131" s="389">
        <v>3460</v>
      </c>
      <c r="D131" s="390" t="s">
        <v>1506</v>
      </c>
      <c r="E131" s="391" t="s">
        <v>1510</v>
      </c>
      <c r="F131" s="392"/>
      <c r="G131" s="392">
        <v>8126007199</v>
      </c>
      <c r="H131" s="392" t="s">
        <v>1626</v>
      </c>
      <c r="I131" s="393" t="s">
        <v>1326</v>
      </c>
      <c r="J131" s="392"/>
      <c r="K131" s="341"/>
      <c r="L131" s="341" t="s">
        <v>1627</v>
      </c>
      <c r="M131" s="341" t="s">
        <v>1628</v>
      </c>
      <c r="N131" s="341" t="s">
        <v>1629</v>
      </c>
      <c r="O131" s="341"/>
      <c r="P131" s="341" t="s">
        <v>1507</v>
      </c>
      <c r="Q131" s="390" t="s">
        <v>1625</v>
      </c>
      <c r="R131" s="390">
        <v>3460</v>
      </c>
    </row>
    <row r="132" spans="1:18" ht="18.75" customHeight="1" x14ac:dyDescent="0.2">
      <c r="A132" s="388" t="s">
        <v>1055</v>
      </c>
      <c r="B132" s="388" t="s">
        <v>347</v>
      </c>
      <c r="C132" s="389">
        <v>3078</v>
      </c>
      <c r="D132" s="390" t="s">
        <v>443</v>
      </c>
      <c r="E132" s="391" t="s">
        <v>271</v>
      </c>
      <c r="F132" s="392"/>
      <c r="G132" s="392">
        <v>8126006358</v>
      </c>
      <c r="H132" s="392" t="s">
        <v>838</v>
      </c>
      <c r="I132" s="393" t="s">
        <v>611</v>
      </c>
      <c r="J132" s="392"/>
      <c r="K132" s="341" t="s">
        <v>310</v>
      </c>
      <c r="L132" s="341" t="s">
        <v>1749</v>
      </c>
      <c r="M132" s="341" t="s">
        <v>1750</v>
      </c>
      <c r="N132" s="341" t="s">
        <v>1751</v>
      </c>
      <c r="O132" s="341">
        <v>1005611135</v>
      </c>
      <c r="P132" s="341" t="s">
        <v>1507</v>
      </c>
      <c r="Q132" s="390" t="s">
        <v>347</v>
      </c>
      <c r="R132" s="390">
        <v>3078</v>
      </c>
    </row>
    <row r="133" spans="1:18" ht="18.75" customHeight="1" x14ac:dyDescent="0.2">
      <c r="A133" s="397" t="s">
        <v>1056</v>
      </c>
      <c r="B133" s="397" t="s">
        <v>424</v>
      </c>
      <c r="C133" s="397">
        <v>3072</v>
      </c>
      <c r="D133" s="398" t="s">
        <v>443</v>
      </c>
      <c r="E133" s="399" t="s">
        <v>463</v>
      </c>
      <c r="F133" s="400"/>
      <c r="G133" s="400">
        <v>8126007055</v>
      </c>
      <c r="H133" s="401" t="s">
        <v>839</v>
      </c>
      <c r="I133" s="401" t="s">
        <v>766</v>
      </c>
      <c r="J133" s="341"/>
      <c r="K133" s="342" t="s">
        <v>310</v>
      </c>
      <c r="L133" s="342"/>
      <c r="M133" s="342"/>
      <c r="N133" s="402"/>
      <c r="O133" s="401"/>
      <c r="P133" s="367" t="s">
        <v>1507</v>
      </c>
      <c r="Q133" s="397" t="s">
        <v>424</v>
      </c>
      <c r="R133" s="397">
        <v>3072</v>
      </c>
    </row>
    <row r="134" spans="1:18" ht="18.399999999999999" customHeight="1" x14ac:dyDescent="0.2">
      <c r="A134" s="388" t="s">
        <v>1057</v>
      </c>
      <c r="B134" s="388" t="s">
        <v>430</v>
      </c>
      <c r="C134" s="389">
        <v>3070</v>
      </c>
      <c r="D134" s="390" t="s">
        <v>443</v>
      </c>
      <c r="E134" s="391" t="s">
        <v>263</v>
      </c>
      <c r="F134" s="392"/>
      <c r="G134" s="392">
        <v>8126007065</v>
      </c>
      <c r="H134" s="392" t="s">
        <v>840</v>
      </c>
      <c r="I134" s="393" t="s">
        <v>615</v>
      </c>
      <c r="J134" s="392"/>
      <c r="K134" s="341" t="s">
        <v>310</v>
      </c>
      <c r="L134" s="341" t="s">
        <v>1296</v>
      </c>
      <c r="M134" s="341" t="s">
        <v>949</v>
      </c>
      <c r="N134" s="341" t="s">
        <v>1295</v>
      </c>
      <c r="O134" s="341" t="s">
        <v>1942</v>
      </c>
      <c r="P134" s="341" t="s">
        <v>1507</v>
      </c>
      <c r="Q134" s="390" t="s">
        <v>430</v>
      </c>
      <c r="R134" s="390">
        <v>3070</v>
      </c>
    </row>
    <row r="135" spans="1:18" ht="18.75" customHeight="1" x14ac:dyDescent="0.2">
      <c r="A135" s="388" t="s">
        <v>1058</v>
      </c>
      <c r="B135" s="388" t="s">
        <v>195</v>
      </c>
      <c r="C135" s="389">
        <v>3072</v>
      </c>
      <c r="D135" s="390" t="s">
        <v>443</v>
      </c>
      <c r="E135" s="391" t="s">
        <v>464</v>
      </c>
      <c r="F135" s="392"/>
      <c r="G135" s="392">
        <v>8126006651</v>
      </c>
      <c r="H135" s="392" t="s">
        <v>841</v>
      </c>
      <c r="I135" s="393" t="s">
        <v>766</v>
      </c>
      <c r="J135" s="392"/>
      <c r="K135" s="341"/>
      <c r="L135" s="341" t="s">
        <v>1568</v>
      </c>
      <c r="M135" s="341" t="s">
        <v>1569</v>
      </c>
      <c r="N135" s="341" t="s">
        <v>1570</v>
      </c>
      <c r="O135" s="341">
        <v>1005977679</v>
      </c>
      <c r="P135" s="341" t="s">
        <v>1507</v>
      </c>
      <c r="Q135" s="390" t="s">
        <v>195</v>
      </c>
      <c r="R135" s="390">
        <v>3072</v>
      </c>
    </row>
    <row r="136" spans="1:18" ht="18.399999999999999" customHeight="1" x14ac:dyDescent="0.2">
      <c r="A136" s="343" t="s">
        <v>1059</v>
      </c>
      <c r="B136" s="343" t="s">
        <v>196</v>
      </c>
      <c r="C136" s="343">
        <v>2020</v>
      </c>
      <c r="D136" s="343" t="s">
        <v>246</v>
      </c>
      <c r="E136" s="343" t="s">
        <v>1378</v>
      </c>
      <c r="F136" s="344" t="s">
        <v>527</v>
      </c>
      <c r="G136" s="344">
        <v>8126003003</v>
      </c>
      <c r="H136" s="344" t="s">
        <v>842</v>
      </c>
      <c r="I136" s="343" t="s">
        <v>765</v>
      </c>
      <c r="J136" s="345">
        <v>16120010</v>
      </c>
      <c r="K136" s="346" t="s">
        <v>726</v>
      </c>
      <c r="L136" s="346" t="s">
        <v>1852</v>
      </c>
      <c r="M136" s="346" t="s">
        <v>1853</v>
      </c>
      <c r="N136" s="347" t="s">
        <v>1854</v>
      </c>
      <c r="O136" s="344">
        <v>1005977771</v>
      </c>
      <c r="P136" s="343" t="s">
        <v>1507</v>
      </c>
      <c r="Q136" s="343" t="s">
        <v>196</v>
      </c>
      <c r="R136" s="343">
        <v>2020</v>
      </c>
    </row>
    <row r="137" spans="1:18" ht="18.399999999999999" customHeight="1" x14ac:dyDescent="0.2">
      <c r="A137" s="388" t="s">
        <v>1060</v>
      </c>
      <c r="B137" s="388" t="s">
        <v>197</v>
      </c>
      <c r="C137" s="389">
        <v>3010</v>
      </c>
      <c r="D137" s="390" t="s">
        <v>444</v>
      </c>
      <c r="E137" s="391" t="s">
        <v>386</v>
      </c>
      <c r="F137" s="392"/>
      <c r="G137" s="392">
        <v>8126006494</v>
      </c>
      <c r="H137" s="392" t="s">
        <v>843</v>
      </c>
      <c r="I137" s="393" t="s">
        <v>1276</v>
      </c>
      <c r="J137" s="392"/>
      <c r="K137" s="341" t="s">
        <v>310</v>
      </c>
      <c r="L137" s="341" t="s">
        <v>1752</v>
      </c>
      <c r="M137" s="341" t="s">
        <v>1753</v>
      </c>
      <c r="N137" s="341" t="s">
        <v>1754</v>
      </c>
      <c r="O137" s="341">
        <v>1005611154</v>
      </c>
      <c r="P137" s="341" t="s">
        <v>1507</v>
      </c>
      <c r="Q137" s="390" t="s">
        <v>197</v>
      </c>
      <c r="R137" s="390">
        <v>3010</v>
      </c>
    </row>
    <row r="138" spans="1:18" ht="18.399999999999999" customHeight="1" x14ac:dyDescent="0.2">
      <c r="A138" s="388" t="s">
        <v>1379</v>
      </c>
      <c r="B138" s="388" t="s">
        <v>1524</v>
      </c>
      <c r="C138" s="389">
        <v>2011</v>
      </c>
      <c r="D138" s="390" t="s">
        <v>451</v>
      </c>
      <c r="E138" s="391" t="s">
        <v>275</v>
      </c>
      <c r="F138" s="392"/>
      <c r="G138" s="392">
        <v>8126007143</v>
      </c>
      <c r="H138" s="392" t="s">
        <v>844</v>
      </c>
      <c r="I138" s="393" t="s">
        <v>765</v>
      </c>
      <c r="J138" s="392"/>
      <c r="K138" s="341" t="s">
        <v>727</v>
      </c>
      <c r="L138" s="341"/>
      <c r="M138" s="341"/>
      <c r="N138" s="341"/>
      <c r="O138" s="341"/>
      <c r="P138" s="341"/>
      <c r="Q138" s="390" t="s">
        <v>1524</v>
      </c>
      <c r="R138" s="390">
        <v>2011</v>
      </c>
    </row>
    <row r="139" spans="1:18" ht="18.399999999999999" customHeight="1" x14ac:dyDescent="0.2">
      <c r="A139" s="388" t="s">
        <v>1380</v>
      </c>
      <c r="B139" s="388" t="s">
        <v>631</v>
      </c>
      <c r="C139" s="389">
        <v>3077</v>
      </c>
      <c r="D139" s="390" t="s">
        <v>443</v>
      </c>
      <c r="E139" s="391" t="s">
        <v>460</v>
      </c>
      <c r="F139" s="392"/>
      <c r="G139" s="392">
        <v>8126006624</v>
      </c>
      <c r="H139" s="392" t="s">
        <v>845</v>
      </c>
      <c r="I139" s="393" t="s">
        <v>612</v>
      </c>
      <c r="J139" s="392"/>
      <c r="K139" s="341" t="s">
        <v>310</v>
      </c>
      <c r="L139" s="341" t="s">
        <v>1755</v>
      </c>
      <c r="M139" s="341" t="s">
        <v>1756</v>
      </c>
      <c r="N139" s="341" t="s">
        <v>1757</v>
      </c>
      <c r="O139" s="341">
        <v>250909</v>
      </c>
      <c r="P139" s="341" t="s">
        <v>1507</v>
      </c>
      <c r="Q139" s="390" t="s">
        <v>631</v>
      </c>
      <c r="R139" s="390">
        <v>3077</v>
      </c>
    </row>
    <row r="140" spans="1:18" ht="18.399999999999999" customHeight="1" x14ac:dyDescent="0.2">
      <c r="A140" s="388" t="s">
        <v>1061</v>
      </c>
      <c r="B140" s="388" t="s">
        <v>198</v>
      </c>
      <c r="C140" s="389">
        <v>2020</v>
      </c>
      <c r="D140" s="390" t="s">
        <v>446</v>
      </c>
      <c r="E140" s="391" t="s">
        <v>273</v>
      </c>
      <c r="F140" s="392"/>
      <c r="G140" s="392">
        <v>8126006209</v>
      </c>
      <c r="H140" s="392" t="s">
        <v>846</v>
      </c>
      <c r="I140" s="393" t="s">
        <v>765</v>
      </c>
      <c r="J140" s="392"/>
      <c r="K140" s="341" t="s">
        <v>728</v>
      </c>
      <c r="L140" s="341"/>
      <c r="M140" s="341"/>
      <c r="N140" s="341"/>
      <c r="O140" s="341"/>
      <c r="P140" s="341"/>
      <c r="Q140" s="390" t="s">
        <v>198</v>
      </c>
      <c r="R140" s="390">
        <v>2020</v>
      </c>
    </row>
    <row r="141" spans="1:18" ht="18.399999999999999" customHeight="1" x14ac:dyDescent="0.2">
      <c r="A141" s="388" t="s">
        <v>1062</v>
      </c>
      <c r="B141" s="388" t="s">
        <v>434</v>
      </c>
      <c r="C141" s="389">
        <v>3072</v>
      </c>
      <c r="D141" s="390" t="s">
        <v>443</v>
      </c>
      <c r="E141" s="391" t="s">
        <v>465</v>
      </c>
      <c r="F141" s="392"/>
      <c r="G141" s="392">
        <v>8126007066</v>
      </c>
      <c r="H141" s="392" t="s">
        <v>847</v>
      </c>
      <c r="I141" s="393" t="s">
        <v>766</v>
      </c>
      <c r="J141" s="392"/>
      <c r="K141" s="341"/>
      <c r="L141" s="341" t="s">
        <v>1251</v>
      </c>
      <c r="M141" s="341" t="s">
        <v>494</v>
      </c>
      <c r="N141" s="341" t="s">
        <v>528</v>
      </c>
      <c r="O141" s="341">
        <v>1005977713</v>
      </c>
      <c r="P141" s="341" t="s">
        <v>1507</v>
      </c>
      <c r="Q141" s="390" t="s">
        <v>434</v>
      </c>
      <c r="R141" s="390">
        <v>3072</v>
      </c>
    </row>
    <row r="142" spans="1:18" ht="18.399999999999999" customHeight="1" x14ac:dyDescent="0.2">
      <c r="A142" s="388" t="s">
        <v>1855</v>
      </c>
      <c r="B142" s="388" t="s">
        <v>1856</v>
      </c>
      <c r="C142" s="389">
        <v>3010</v>
      </c>
      <c r="D142" s="390" t="s">
        <v>443</v>
      </c>
      <c r="E142" s="391" t="s">
        <v>368</v>
      </c>
      <c r="F142" s="392"/>
      <c r="G142" s="392"/>
      <c r="H142" s="392" t="s">
        <v>1857</v>
      </c>
      <c r="I142" s="393" t="s">
        <v>1276</v>
      </c>
      <c r="J142" s="392"/>
      <c r="K142" s="341"/>
      <c r="L142" s="341" t="s">
        <v>1943</v>
      </c>
      <c r="M142" s="341" t="s">
        <v>1944</v>
      </c>
      <c r="N142" s="341" t="s">
        <v>1945</v>
      </c>
      <c r="O142" s="341">
        <v>1005648747</v>
      </c>
      <c r="P142" s="341" t="s">
        <v>1507</v>
      </c>
      <c r="Q142" s="390" t="s">
        <v>1856</v>
      </c>
      <c r="R142" s="390">
        <v>3010</v>
      </c>
    </row>
    <row r="143" spans="1:18" ht="18.399999999999999" customHeight="1" x14ac:dyDescent="0.2">
      <c r="A143" s="388" t="s">
        <v>1896</v>
      </c>
      <c r="B143" s="388" t="s">
        <v>1897</v>
      </c>
      <c r="C143" s="389">
        <v>6010</v>
      </c>
      <c r="D143" s="390" t="s">
        <v>454</v>
      </c>
      <c r="E143" s="391" t="s">
        <v>258</v>
      </c>
      <c r="F143" s="392"/>
      <c r="G143" s="392"/>
      <c r="H143" s="392"/>
      <c r="I143" s="393" t="s">
        <v>1313</v>
      </c>
      <c r="J143" s="392"/>
      <c r="K143" s="341"/>
      <c r="L143" s="341"/>
      <c r="M143" s="341"/>
      <c r="N143" s="341"/>
      <c r="O143" s="341"/>
      <c r="P143" s="341"/>
      <c r="Q143" s="390" t="s">
        <v>1897</v>
      </c>
      <c r="R143" s="390">
        <v>6010</v>
      </c>
    </row>
    <row r="144" spans="1:18" ht="18.75" customHeight="1" x14ac:dyDescent="0.2">
      <c r="A144" s="388" t="s">
        <v>1063</v>
      </c>
      <c r="B144" s="388" t="s">
        <v>431</v>
      </c>
      <c r="C144" s="389">
        <v>9090</v>
      </c>
      <c r="D144" s="390" t="s">
        <v>1335</v>
      </c>
      <c r="E144" s="391" t="s">
        <v>462</v>
      </c>
      <c r="F144" s="392"/>
      <c r="G144" s="392">
        <v>8126007058</v>
      </c>
      <c r="H144" s="392" t="s">
        <v>848</v>
      </c>
      <c r="I144" s="393" t="s">
        <v>616</v>
      </c>
      <c r="J144" s="392"/>
      <c r="K144" s="341" t="s">
        <v>310</v>
      </c>
      <c r="L144" s="341"/>
      <c r="M144" s="341"/>
      <c r="N144" s="341"/>
      <c r="O144" s="341"/>
      <c r="P144" s="341"/>
      <c r="Q144" s="390" t="s">
        <v>431</v>
      </c>
      <c r="R144" s="390">
        <v>9090</v>
      </c>
    </row>
    <row r="145" spans="1:18" ht="18.75" customHeight="1" x14ac:dyDescent="0.2">
      <c r="A145" s="388" t="s">
        <v>1064</v>
      </c>
      <c r="B145" s="388" t="s">
        <v>646</v>
      </c>
      <c r="C145" s="389">
        <v>4000</v>
      </c>
      <c r="D145" s="390" t="s">
        <v>194</v>
      </c>
      <c r="E145" s="391" t="s">
        <v>672</v>
      </c>
      <c r="F145" s="392"/>
      <c r="G145" s="392">
        <v>8126007122</v>
      </c>
      <c r="H145" s="392" t="s">
        <v>849</v>
      </c>
      <c r="I145" s="393" t="s">
        <v>610</v>
      </c>
      <c r="J145" s="392"/>
      <c r="K145" s="341" t="s">
        <v>310</v>
      </c>
      <c r="L145" s="341"/>
      <c r="M145" s="341"/>
      <c r="N145" s="341"/>
      <c r="O145" s="341"/>
      <c r="P145" s="341"/>
      <c r="Q145" s="390" t="s">
        <v>646</v>
      </c>
      <c r="R145" s="390">
        <v>4000</v>
      </c>
    </row>
    <row r="146" spans="1:18" ht="18.75" customHeight="1" x14ac:dyDescent="0.2">
      <c r="A146" s="388" t="s">
        <v>1503</v>
      </c>
      <c r="B146" s="388" t="s">
        <v>1504</v>
      </c>
      <c r="C146" s="389">
        <v>4000</v>
      </c>
      <c r="D146" s="390" t="s">
        <v>1339</v>
      </c>
      <c r="E146" s="391" t="s">
        <v>677</v>
      </c>
      <c r="F146" s="392"/>
      <c r="G146" s="392">
        <v>8126007159</v>
      </c>
      <c r="H146" s="392" t="s">
        <v>1213</v>
      </c>
      <c r="I146" s="393" t="s">
        <v>610</v>
      </c>
      <c r="J146" s="392"/>
      <c r="K146" s="341"/>
      <c r="L146" s="341"/>
      <c r="M146" s="341"/>
      <c r="N146" s="341"/>
      <c r="O146" s="341"/>
      <c r="P146" s="341"/>
      <c r="Q146" s="390" t="s">
        <v>1504</v>
      </c>
      <c r="R146" s="390">
        <v>4000</v>
      </c>
    </row>
    <row r="147" spans="1:18" ht="18.75" customHeight="1" x14ac:dyDescent="0.2">
      <c r="A147" s="388" t="s">
        <v>1065</v>
      </c>
      <c r="B147" s="388" t="s">
        <v>199</v>
      </c>
      <c r="C147" s="389">
        <v>3076</v>
      </c>
      <c r="D147" s="390" t="s">
        <v>443</v>
      </c>
      <c r="E147" s="391" t="s">
        <v>387</v>
      </c>
      <c r="F147" s="392"/>
      <c r="G147" s="392">
        <v>8126006438</v>
      </c>
      <c r="H147" s="392" t="s">
        <v>850</v>
      </c>
      <c r="I147" s="393" t="s">
        <v>1220</v>
      </c>
      <c r="J147" s="392"/>
      <c r="K147" s="341" t="s">
        <v>310</v>
      </c>
      <c r="L147" s="341" t="s">
        <v>1298</v>
      </c>
      <c r="M147" s="341" t="s">
        <v>950</v>
      </c>
      <c r="N147" s="341" t="s">
        <v>1297</v>
      </c>
      <c r="O147" s="341" t="s">
        <v>1946</v>
      </c>
      <c r="P147" s="341" t="s">
        <v>1507</v>
      </c>
      <c r="Q147" s="390" t="s">
        <v>199</v>
      </c>
      <c r="R147" s="390">
        <v>3076</v>
      </c>
    </row>
    <row r="148" spans="1:18" ht="18.75" customHeight="1" x14ac:dyDescent="0.2">
      <c r="A148" s="388" t="s">
        <v>1630</v>
      </c>
      <c r="B148" s="388" t="s">
        <v>1631</v>
      </c>
      <c r="C148" s="389">
        <v>2020</v>
      </c>
      <c r="D148" s="390" t="s">
        <v>448</v>
      </c>
      <c r="E148" s="391" t="s">
        <v>1632</v>
      </c>
      <c r="F148" s="392"/>
      <c r="G148" s="392"/>
      <c r="H148" s="392" t="s">
        <v>1633</v>
      </c>
      <c r="I148" s="393" t="s">
        <v>765</v>
      </c>
      <c r="J148" s="392"/>
      <c r="K148" s="341"/>
      <c r="L148" s="341"/>
      <c r="M148" s="341"/>
      <c r="N148" s="341"/>
      <c r="O148" s="341"/>
      <c r="P148" s="341" t="s">
        <v>1507</v>
      </c>
      <c r="Q148" s="390" t="s">
        <v>1631</v>
      </c>
      <c r="R148" s="390">
        <v>2020</v>
      </c>
    </row>
    <row r="149" spans="1:18" ht="18.75" customHeight="1" x14ac:dyDescent="0.2">
      <c r="A149" s="354" t="s">
        <v>1592</v>
      </c>
      <c r="B149" s="354" t="s">
        <v>1593</v>
      </c>
      <c r="C149" s="354">
        <v>3460</v>
      </c>
      <c r="D149" s="394" t="s">
        <v>1506</v>
      </c>
      <c r="E149" s="377" t="s">
        <v>1510</v>
      </c>
      <c r="F149" s="355"/>
      <c r="G149" s="355"/>
      <c r="H149" s="359" t="s">
        <v>1634</v>
      </c>
      <c r="I149" s="359" t="s">
        <v>1326</v>
      </c>
      <c r="J149" s="356"/>
      <c r="K149" s="357"/>
      <c r="L149" s="357"/>
      <c r="M149" s="357"/>
      <c r="N149" s="358"/>
      <c r="O149" s="359"/>
      <c r="P149" s="383" t="s">
        <v>1507</v>
      </c>
      <c r="Q149" s="354" t="s">
        <v>1593</v>
      </c>
      <c r="R149" s="354">
        <v>3460</v>
      </c>
    </row>
    <row r="150" spans="1:18" ht="18.75" customHeight="1" x14ac:dyDescent="0.2">
      <c r="A150" s="388" t="s">
        <v>1381</v>
      </c>
      <c r="B150" s="388" t="s">
        <v>200</v>
      </c>
      <c r="C150" s="389">
        <v>4000</v>
      </c>
      <c r="D150" s="390" t="s">
        <v>1327</v>
      </c>
      <c r="E150" s="391" t="s">
        <v>1382</v>
      </c>
      <c r="F150" s="392" t="s">
        <v>1185</v>
      </c>
      <c r="G150" s="392">
        <v>8126006547</v>
      </c>
      <c r="H150" s="392" t="s">
        <v>851</v>
      </c>
      <c r="I150" s="393" t="s">
        <v>610</v>
      </c>
      <c r="J150" s="392"/>
      <c r="K150" s="341" t="s">
        <v>729</v>
      </c>
      <c r="L150" s="341"/>
      <c r="M150" s="341"/>
      <c r="N150" s="341"/>
      <c r="O150" s="341"/>
      <c r="P150" s="341"/>
      <c r="Q150" s="390" t="s">
        <v>200</v>
      </c>
      <c r="R150" s="390">
        <v>4000</v>
      </c>
    </row>
    <row r="151" spans="1:18" ht="18.75" customHeight="1" x14ac:dyDescent="0.2">
      <c r="A151" s="388" t="s">
        <v>1066</v>
      </c>
      <c r="B151" s="388" t="s">
        <v>201</v>
      </c>
      <c r="C151" s="389">
        <v>2000</v>
      </c>
      <c r="D151" s="390" t="s">
        <v>246</v>
      </c>
      <c r="E151" s="391" t="s">
        <v>1383</v>
      </c>
      <c r="F151" s="392" t="s">
        <v>529</v>
      </c>
      <c r="G151" s="392">
        <v>8126004005</v>
      </c>
      <c r="H151" s="392" t="s">
        <v>765</v>
      </c>
      <c r="I151" s="393" t="s">
        <v>1313</v>
      </c>
      <c r="J151" s="392"/>
      <c r="K151" s="341" t="s">
        <v>730</v>
      </c>
      <c r="L151" s="341"/>
      <c r="M151" s="341"/>
      <c r="N151" s="341"/>
      <c r="O151" s="341"/>
      <c r="P151" s="341" t="s">
        <v>1507</v>
      </c>
      <c r="Q151" s="390" t="s">
        <v>201</v>
      </c>
      <c r="R151" s="390">
        <v>2000</v>
      </c>
    </row>
    <row r="152" spans="1:18" ht="18.75" customHeight="1" x14ac:dyDescent="0.2">
      <c r="A152" s="388" t="s">
        <v>1067</v>
      </c>
      <c r="B152" s="388" t="s">
        <v>417</v>
      </c>
      <c r="C152" s="389">
        <v>3070</v>
      </c>
      <c r="D152" s="390" t="s">
        <v>443</v>
      </c>
      <c r="E152" s="391" t="s">
        <v>466</v>
      </c>
      <c r="F152" s="392"/>
      <c r="G152" s="392">
        <v>8126007040</v>
      </c>
      <c r="H152" s="392" t="s">
        <v>852</v>
      </c>
      <c r="I152" s="393" t="s">
        <v>615</v>
      </c>
      <c r="J152" s="392"/>
      <c r="K152" s="341" t="s">
        <v>310</v>
      </c>
      <c r="L152" s="341" t="s">
        <v>1758</v>
      </c>
      <c r="M152" s="341" t="s">
        <v>1635</v>
      </c>
      <c r="N152" s="341" t="s">
        <v>1759</v>
      </c>
      <c r="O152" s="341">
        <v>1005611183</v>
      </c>
      <c r="P152" s="341" t="s">
        <v>1507</v>
      </c>
      <c r="Q152" s="390" t="s">
        <v>417</v>
      </c>
      <c r="R152" s="390">
        <v>3070</v>
      </c>
    </row>
    <row r="153" spans="1:18" ht="18.75" customHeight="1" x14ac:dyDescent="0.2">
      <c r="A153" s="388" t="s">
        <v>1068</v>
      </c>
      <c r="B153" s="388" t="s">
        <v>202</v>
      </c>
      <c r="C153" s="389">
        <v>2011</v>
      </c>
      <c r="D153" s="390" t="s">
        <v>451</v>
      </c>
      <c r="E153" s="391" t="s">
        <v>275</v>
      </c>
      <c r="F153" s="392"/>
      <c r="G153" s="392">
        <v>8126006577</v>
      </c>
      <c r="H153" s="392" t="s">
        <v>853</v>
      </c>
      <c r="I153" s="393" t="s">
        <v>765</v>
      </c>
      <c r="J153" s="392"/>
      <c r="K153" s="341" t="s">
        <v>731</v>
      </c>
      <c r="L153" s="341"/>
      <c r="M153" s="341"/>
      <c r="N153" s="341"/>
      <c r="O153" s="341"/>
      <c r="P153" s="341"/>
      <c r="Q153" s="390" t="s">
        <v>202</v>
      </c>
      <c r="R153" s="390">
        <v>2011</v>
      </c>
    </row>
    <row r="154" spans="1:18" ht="18.75" customHeight="1" x14ac:dyDescent="0.2">
      <c r="A154" s="388" t="s">
        <v>1069</v>
      </c>
      <c r="B154" s="388" t="s">
        <v>468</v>
      </c>
      <c r="C154" s="389">
        <v>3077</v>
      </c>
      <c r="D154" s="390" t="s">
        <v>443</v>
      </c>
      <c r="E154" s="391" t="s">
        <v>469</v>
      </c>
      <c r="F154" s="392"/>
      <c r="G154" s="392">
        <v>8126007060</v>
      </c>
      <c r="H154" s="392" t="s">
        <v>854</v>
      </c>
      <c r="I154" s="393" t="s">
        <v>612</v>
      </c>
      <c r="J154" s="392"/>
      <c r="K154" s="341">
        <v>0</v>
      </c>
      <c r="L154" s="341" t="s">
        <v>1858</v>
      </c>
      <c r="M154" s="341" t="s">
        <v>1859</v>
      </c>
      <c r="N154" s="341" t="s">
        <v>1860</v>
      </c>
      <c r="O154" s="341">
        <v>1005611151</v>
      </c>
      <c r="P154" s="341" t="s">
        <v>1507</v>
      </c>
      <c r="Q154" s="390" t="s">
        <v>468</v>
      </c>
      <c r="R154" s="390">
        <v>3077</v>
      </c>
    </row>
    <row r="155" spans="1:18" ht="18.75" customHeight="1" x14ac:dyDescent="0.2">
      <c r="A155" s="388" t="s">
        <v>1070</v>
      </c>
      <c r="B155" s="388" t="s">
        <v>203</v>
      </c>
      <c r="C155" s="389">
        <v>3070</v>
      </c>
      <c r="D155" s="390" t="s">
        <v>443</v>
      </c>
      <c r="E155" s="391" t="s">
        <v>276</v>
      </c>
      <c r="F155" s="392"/>
      <c r="G155" s="392">
        <v>8126006645</v>
      </c>
      <c r="H155" s="392" t="s">
        <v>855</v>
      </c>
      <c r="I155" s="393" t="s">
        <v>615</v>
      </c>
      <c r="J155" s="392"/>
      <c r="K155" s="341" t="s">
        <v>310</v>
      </c>
      <c r="L155" s="341" t="s">
        <v>1252</v>
      </c>
      <c r="M155" s="341" t="s">
        <v>952</v>
      </c>
      <c r="N155" s="341" t="s">
        <v>951</v>
      </c>
      <c r="O155" s="341" t="s">
        <v>1947</v>
      </c>
      <c r="P155" s="341" t="s">
        <v>1507</v>
      </c>
      <c r="Q155" s="390" t="s">
        <v>203</v>
      </c>
      <c r="R155" s="390">
        <v>3070</v>
      </c>
    </row>
    <row r="156" spans="1:18" ht="18.75" customHeight="1" x14ac:dyDescent="0.2">
      <c r="A156" s="388" t="s">
        <v>1898</v>
      </c>
      <c r="B156" s="388" t="s">
        <v>1899</v>
      </c>
      <c r="C156" s="389">
        <v>3078</v>
      </c>
      <c r="D156" s="390" t="s">
        <v>443</v>
      </c>
      <c r="E156" s="391" t="s">
        <v>383</v>
      </c>
      <c r="F156" s="392"/>
      <c r="G156" s="392"/>
      <c r="H156" s="392"/>
      <c r="I156" s="393" t="s">
        <v>611</v>
      </c>
      <c r="J156" s="392"/>
      <c r="K156" s="341"/>
      <c r="L156" s="341" t="s">
        <v>1687</v>
      </c>
      <c r="M156" s="341" t="s">
        <v>1688</v>
      </c>
      <c r="N156" s="341" t="s">
        <v>1689</v>
      </c>
      <c r="O156" s="341">
        <v>1005611141</v>
      </c>
      <c r="P156" s="341" t="s">
        <v>1507</v>
      </c>
      <c r="Q156" s="390" t="s">
        <v>1899</v>
      </c>
      <c r="R156" s="390">
        <v>3078</v>
      </c>
    </row>
    <row r="157" spans="1:18" ht="18.75" customHeight="1" x14ac:dyDescent="0.2">
      <c r="A157" s="388" t="s">
        <v>1071</v>
      </c>
      <c r="B157" s="388" t="s">
        <v>204</v>
      </c>
      <c r="C157" s="389">
        <v>3010</v>
      </c>
      <c r="D157" s="390" t="s">
        <v>443</v>
      </c>
      <c r="E157" s="391" t="s">
        <v>387</v>
      </c>
      <c r="F157" s="392"/>
      <c r="G157" s="392">
        <v>8126006314</v>
      </c>
      <c r="H157" s="392" t="s">
        <v>856</v>
      </c>
      <c r="I157" s="393" t="s">
        <v>1276</v>
      </c>
      <c r="J157" s="392"/>
      <c r="K157" s="341" t="s">
        <v>310</v>
      </c>
      <c r="L157" s="341" t="s">
        <v>1760</v>
      </c>
      <c r="M157" s="341" t="s">
        <v>1761</v>
      </c>
      <c r="N157" s="341" t="s">
        <v>1762</v>
      </c>
      <c r="O157" s="341">
        <v>1005977740</v>
      </c>
      <c r="P157" s="341" t="s">
        <v>1507</v>
      </c>
      <c r="Q157" s="390" t="s">
        <v>204</v>
      </c>
      <c r="R157" s="390">
        <v>3010</v>
      </c>
    </row>
    <row r="158" spans="1:18" ht="18.75" customHeight="1" x14ac:dyDescent="0.2">
      <c r="A158" s="388" t="s">
        <v>1228</v>
      </c>
      <c r="B158" s="388" t="s">
        <v>1229</v>
      </c>
      <c r="C158" s="389">
        <v>3077</v>
      </c>
      <c r="D158" s="390" t="s">
        <v>443</v>
      </c>
      <c r="E158" s="391" t="s">
        <v>460</v>
      </c>
      <c r="F158" s="392"/>
      <c r="G158" s="392">
        <v>8126007061</v>
      </c>
      <c r="H158" s="392" t="s">
        <v>1230</v>
      </c>
      <c r="I158" s="393" t="s">
        <v>612</v>
      </c>
      <c r="J158" s="392"/>
      <c r="K158" s="341"/>
      <c r="L158" s="341" t="s">
        <v>1763</v>
      </c>
      <c r="M158" s="341" t="s">
        <v>1764</v>
      </c>
      <c r="N158" s="341" t="s">
        <v>1765</v>
      </c>
      <c r="O158" s="341">
        <v>250910</v>
      </c>
      <c r="P158" s="341" t="s">
        <v>1507</v>
      </c>
      <c r="Q158" s="390" t="s">
        <v>1229</v>
      </c>
      <c r="R158" s="390">
        <v>3077</v>
      </c>
    </row>
    <row r="159" spans="1:18" ht="18.75" customHeight="1" x14ac:dyDescent="0.2">
      <c r="A159" s="388" t="s">
        <v>1384</v>
      </c>
      <c r="B159" s="388" t="s">
        <v>1231</v>
      </c>
      <c r="C159" s="389">
        <v>3073</v>
      </c>
      <c r="D159" s="390" t="s">
        <v>443</v>
      </c>
      <c r="E159" s="391" t="s">
        <v>269</v>
      </c>
      <c r="F159" s="392"/>
      <c r="G159" s="392">
        <v>8126006549</v>
      </c>
      <c r="H159" s="392" t="s">
        <v>614</v>
      </c>
      <c r="I159" s="393" t="s">
        <v>935</v>
      </c>
      <c r="J159" s="392"/>
      <c r="K159" s="341" t="s">
        <v>310</v>
      </c>
      <c r="L159" s="341" t="s">
        <v>1766</v>
      </c>
      <c r="M159" s="341" t="s">
        <v>1767</v>
      </c>
      <c r="N159" s="341" t="s">
        <v>1768</v>
      </c>
      <c r="O159" s="341">
        <v>1005611162</v>
      </c>
      <c r="P159" s="341" t="s">
        <v>1507</v>
      </c>
      <c r="Q159" s="390" t="s">
        <v>1231</v>
      </c>
      <c r="R159" s="390">
        <v>3073</v>
      </c>
    </row>
    <row r="160" spans="1:18" ht="18.75" customHeight="1" x14ac:dyDescent="0.2">
      <c r="A160" s="388" t="s">
        <v>1072</v>
      </c>
      <c r="B160" s="388" t="s">
        <v>205</v>
      </c>
      <c r="C160" s="389">
        <v>3010</v>
      </c>
      <c r="D160" s="390" t="s">
        <v>444</v>
      </c>
      <c r="E160" s="391" t="s">
        <v>659</v>
      </c>
      <c r="F160" s="392" t="s">
        <v>531</v>
      </c>
      <c r="G160" s="392">
        <v>8126006476</v>
      </c>
      <c r="H160" s="392" t="s">
        <v>857</v>
      </c>
      <c r="I160" s="393" t="s">
        <v>1276</v>
      </c>
      <c r="J160" s="392"/>
      <c r="K160" s="341" t="s">
        <v>732</v>
      </c>
      <c r="L160" s="341" t="s">
        <v>1253</v>
      </c>
      <c r="M160" s="341" t="s">
        <v>481</v>
      </c>
      <c r="N160" s="341" t="s">
        <v>530</v>
      </c>
      <c r="O160" s="341">
        <v>1005977684</v>
      </c>
      <c r="P160" s="341" t="s">
        <v>1507</v>
      </c>
      <c r="Q160" s="390" t="s">
        <v>205</v>
      </c>
      <c r="R160" s="390">
        <v>3010</v>
      </c>
    </row>
    <row r="161" spans="1:18" ht="18.75" customHeight="1" x14ac:dyDescent="0.2">
      <c r="A161" s="343" t="s">
        <v>1073</v>
      </c>
      <c r="B161" s="343" t="s">
        <v>206</v>
      </c>
      <c r="C161" s="343">
        <v>2060</v>
      </c>
      <c r="D161" s="343" t="s">
        <v>246</v>
      </c>
      <c r="E161" s="343" t="s">
        <v>1385</v>
      </c>
      <c r="F161" s="344" t="s">
        <v>1186</v>
      </c>
      <c r="G161" s="344">
        <v>8126006521</v>
      </c>
      <c r="H161" s="344" t="s">
        <v>858</v>
      </c>
      <c r="I161" s="343" t="s">
        <v>765</v>
      </c>
      <c r="J161" s="345">
        <v>16120010</v>
      </c>
      <c r="K161" s="346" t="s">
        <v>733</v>
      </c>
      <c r="L161" s="346"/>
      <c r="M161" s="346"/>
      <c r="N161" s="347"/>
      <c r="O161" s="344"/>
      <c r="P161" s="343" t="s">
        <v>1507</v>
      </c>
      <c r="Q161" s="343" t="s">
        <v>206</v>
      </c>
      <c r="R161" s="343">
        <v>2060</v>
      </c>
    </row>
    <row r="162" spans="1:18" ht="18.75" customHeight="1" x14ac:dyDescent="0.2">
      <c r="A162" s="388" t="s">
        <v>1074</v>
      </c>
      <c r="B162" s="388" t="s">
        <v>207</v>
      </c>
      <c r="C162" s="389">
        <v>3076</v>
      </c>
      <c r="D162" s="390" t="s">
        <v>443</v>
      </c>
      <c r="E162" s="391" t="s">
        <v>277</v>
      </c>
      <c r="F162" s="392"/>
      <c r="G162" s="392">
        <v>8126006374</v>
      </c>
      <c r="H162" s="392" t="s">
        <v>859</v>
      </c>
      <c r="I162" s="393" t="s">
        <v>1220</v>
      </c>
      <c r="J162" s="392"/>
      <c r="K162" s="341" t="s">
        <v>310</v>
      </c>
      <c r="L162" s="341" t="s">
        <v>1254</v>
      </c>
      <c r="M162" s="341" t="s">
        <v>753</v>
      </c>
      <c r="N162" s="341" t="s">
        <v>752</v>
      </c>
      <c r="O162" s="341" t="s">
        <v>658</v>
      </c>
      <c r="P162" s="341" t="s">
        <v>1507</v>
      </c>
      <c r="Q162" s="390" t="s">
        <v>207</v>
      </c>
      <c r="R162" s="390">
        <v>3076</v>
      </c>
    </row>
    <row r="163" spans="1:18" ht="18.75" customHeight="1" x14ac:dyDescent="0.2">
      <c r="A163" s="388" t="s">
        <v>1299</v>
      </c>
      <c r="B163" s="388" t="s">
        <v>1300</v>
      </c>
      <c r="C163" s="389">
        <v>3000</v>
      </c>
      <c r="D163" s="390" t="s">
        <v>445</v>
      </c>
      <c r="E163" s="391" t="s">
        <v>173</v>
      </c>
      <c r="F163" s="392"/>
      <c r="G163" s="392">
        <v>0</v>
      </c>
      <c r="H163" s="392" t="s">
        <v>1318</v>
      </c>
      <c r="I163" s="393" t="s">
        <v>1276</v>
      </c>
      <c r="J163" s="392"/>
      <c r="K163" s="341"/>
      <c r="L163" s="341"/>
      <c r="M163" s="341"/>
      <c r="N163" s="341"/>
      <c r="O163" s="341"/>
      <c r="P163" s="341" t="s">
        <v>1507</v>
      </c>
      <c r="Q163" s="390" t="s">
        <v>1300</v>
      </c>
      <c r="R163" s="390">
        <v>3000</v>
      </c>
    </row>
    <row r="164" spans="1:18" ht="18.75" customHeight="1" x14ac:dyDescent="0.2">
      <c r="A164" s="388" t="s">
        <v>1075</v>
      </c>
      <c r="B164" s="388" t="s">
        <v>208</v>
      </c>
      <c r="C164" s="389">
        <v>3070</v>
      </c>
      <c r="D164" s="390" t="s">
        <v>443</v>
      </c>
      <c r="E164" s="391" t="s">
        <v>278</v>
      </c>
      <c r="F164" s="392"/>
      <c r="G164" s="392">
        <v>8126006490</v>
      </c>
      <c r="H164" s="392" t="s">
        <v>860</v>
      </c>
      <c r="I164" s="393" t="s">
        <v>615</v>
      </c>
      <c r="J164" s="392"/>
      <c r="K164" s="341" t="s">
        <v>310</v>
      </c>
      <c r="L164" s="341" t="s">
        <v>1255</v>
      </c>
      <c r="M164" s="341" t="s">
        <v>495</v>
      </c>
      <c r="N164" s="341" t="s">
        <v>532</v>
      </c>
      <c r="O164" s="341">
        <v>1005977764</v>
      </c>
      <c r="P164" s="341" t="s">
        <v>1507</v>
      </c>
      <c r="Q164" s="390" t="s">
        <v>208</v>
      </c>
      <c r="R164" s="390">
        <v>3070</v>
      </c>
    </row>
    <row r="165" spans="1:18" ht="18.75" customHeight="1" x14ac:dyDescent="0.2">
      <c r="A165" s="348" t="s">
        <v>1076</v>
      </c>
      <c r="B165" s="348" t="s">
        <v>423</v>
      </c>
      <c r="C165" s="348">
        <v>3072</v>
      </c>
      <c r="D165" s="396" t="s">
        <v>443</v>
      </c>
      <c r="E165" s="396" t="s">
        <v>1386</v>
      </c>
      <c r="F165" s="350"/>
      <c r="G165" s="350" t="s">
        <v>310</v>
      </c>
      <c r="H165" s="350" t="s">
        <v>861</v>
      </c>
      <c r="I165" s="396" t="s">
        <v>1276</v>
      </c>
      <c r="J165" s="351">
        <v>42900010</v>
      </c>
      <c r="K165" s="352" t="s">
        <v>310</v>
      </c>
      <c r="L165" s="352" t="s">
        <v>1769</v>
      </c>
      <c r="M165" s="352" t="s">
        <v>1770</v>
      </c>
      <c r="N165" s="353" t="s">
        <v>1771</v>
      </c>
      <c r="O165" s="396">
        <v>1005977758</v>
      </c>
      <c r="P165" s="349" t="s">
        <v>1507</v>
      </c>
      <c r="Q165" s="348" t="s">
        <v>423</v>
      </c>
      <c r="R165" s="348">
        <v>3072</v>
      </c>
    </row>
    <row r="166" spans="1:18" ht="18.75" customHeight="1" x14ac:dyDescent="0.2">
      <c r="A166" s="388" t="s">
        <v>1077</v>
      </c>
      <c r="B166" s="388" t="s">
        <v>209</v>
      </c>
      <c r="C166" s="389">
        <v>6020</v>
      </c>
      <c r="D166" s="390" t="s">
        <v>459</v>
      </c>
      <c r="E166" s="391" t="s">
        <v>12</v>
      </c>
      <c r="F166" s="392"/>
      <c r="G166" s="392">
        <v>8126006621</v>
      </c>
      <c r="H166" s="392" t="s">
        <v>862</v>
      </c>
      <c r="I166" s="393" t="s">
        <v>609</v>
      </c>
      <c r="J166" s="392"/>
      <c r="K166" s="341" t="s">
        <v>734</v>
      </c>
      <c r="L166" s="341"/>
      <c r="M166" s="341"/>
      <c r="N166" s="341"/>
      <c r="O166" s="341"/>
      <c r="P166" s="341"/>
      <c r="Q166" s="390" t="s">
        <v>209</v>
      </c>
      <c r="R166" s="390">
        <v>6020</v>
      </c>
    </row>
    <row r="167" spans="1:18" ht="18.75" customHeight="1" x14ac:dyDescent="0.2">
      <c r="A167" s="388" t="s">
        <v>1387</v>
      </c>
      <c r="B167" s="388" t="s">
        <v>1388</v>
      </c>
      <c r="C167" s="389">
        <v>3010</v>
      </c>
      <c r="D167" s="390" t="s">
        <v>444</v>
      </c>
      <c r="E167" s="391" t="s">
        <v>257</v>
      </c>
      <c r="F167" s="392"/>
      <c r="G167" s="392">
        <v>8126007170</v>
      </c>
      <c r="H167" s="392" t="s">
        <v>1391</v>
      </c>
      <c r="I167" s="393" t="s">
        <v>1276</v>
      </c>
      <c r="J167" s="392"/>
      <c r="K167" s="341"/>
      <c r="L167" s="341" t="s">
        <v>1636</v>
      </c>
      <c r="M167" s="341" t="s">
        <v>1637</v>
      </c>
      <c r="N167" s="341" t="s">
        <v>1638</v>
      </c>
      <c r="O167" s="341">
        <v>1005977759</v>
      </c>
      <c r="P167" s="341" t="s">
        <v>1507</v>
      </c>
      <c r="Q167" s="390" t="s">
        <v>1388</v>
      </c>
      <c r="R167" s="390">
        <v>3010</v>
      </c>
    </row>
    <row r="168" spans="1:18" ht="18.75" customHeight="1" x14ac:dyDescent="0.2">
      <c r="A168" s="388" t="s">
        <v>1078</v>
      </c>
      <c r="B168" s="388" t="s">
        <v>348</v>
      </c>
      <c r="C168" s="389">
        <v>3073</v>
      </c>
      <c r="D168" s="390" t="s">
        <v>443</v>
      </c>
      <c r="E168" s="391" t="s">
        <v>382</v>
      </c>
      <c r="F168" s="392"/>
      <c r="G168" s="392">
        <v>8126006305</v>
      </c>
      <c r="H168" s="392" t="s">
        <v>863</v>
      </c>
      <c r="I168" s="393" t="s">
        <v>935</v>
      </c>
      <c r="J168" s="392"/>
      <c r="K168" s="341" t="s">
        <v>310</v>
      </c>
      <c r="L168" s="341" t="s">
        <v>1772</v>
      </c>
      <c r="M168" s="341" t="s">
        <v>1773</v>
      </c>
      <c r="N168" s="341" t="s">
        <v>1774</v>
      </c>
      <c r="O168" s="341">
        <v>1005977729</v>
      </c>
      <c r="P168" s="341" t="s">
        <v>1507</v>
      </c>
      <c r="Q168" s="390" t="s">
        <v>348</v>
      </c>
      <c r="R168" s="390">
        <v>3073</v>
      </c>
    </row>
    <row r="169" spans="1:18" ht="18.75" customHeight="1" x14ac:dyDescent="0.2">
      <c r="A169" s="388" t="s">
        <v>1079</v>
      </c>
      <c r="B169" s="388" t="s">
        <v>210</v>
      </c>
      <c r="C169" s="389">
        <v>3010</v>
      </c>
      <c r="D169" s="390" t="s">
        <v>443</v>
      </c>
      <c r="E169" s="391" t="s">
        <v>388</v>
      </c>
      <c r="F169" s="392"/>
      <c r="G169" s="392">
        <v>8126006664</v>
      </c>
      <c r="H169" s="392" t="s">
        <v>864</v>
      </c>
      <c r="I169" s="393" t="s">
        <v>1276</v>
      </c>
      <c r="J169" s="392"/>
      <c r="K169" s="341" t="s">
        <v>310</v>
      </c>
      <c r="L169" s="341" t="s">
        <v>1775</v>
      </c>
      <c r="M169" s="341" t="s">
        <v>1776</v>
      </c>
      <c r="N169" s="341" t="s">
        <v>1777</v>
      </c>
      <c r="O169" s="341">
        <v>1005611177</v>
      </c>
      <c r="P169" s="341" t="s">
        <v>1507</v>
      </c>
      <c r="Q169" s="390" t="s">
        <v>210</v>
      </c>
      <c r="R169" s="390">
        <v>3010</v>
      </c>
    </row>
    <row r="170" spans="1:18" ht="18.75" customHeight="1" x14ac:dyDescent="0.2">
      <c r="A170" s="388" t="s">
        <v>1080</v>
      </c>
      <c r="B170" s="388" t="s">
        <v>349</v>
      </c>
      <c r="C170" s="389">
        <v>3076</v>
      </c>
      <c r="D170" s="390" t="s">
        <v>443</v>
      </c>
      <c r="E170" s="391" t="s">
        <v>389</v>
      </c>
      <c r="F170" s="392"/>
      <c r="G170" s="392">
        <v>8126006700</v>
      </c>
      <c r="H170" s="392" t="s">
        <v>865</v>
      </c>
      <c r="I170" s="393" t="s">
        <v>1220</v>
      </c>
      <c r="J170" s="392"/>
      <c r="K170" s="341" t="s">
        <v>310</v>
      </c>
      <c r="L170" s="341" t="s">
        <v>1639</v>
      </c>
      <c r="M170" s="341" t="s">
        <v>1640</v>
      </c>
      <c r="N170" s="341" t="s">
        <v>1641</v>
      </c>
      <c r="O170" s="341">
        <v>1005611148</v>
      </c>
      <c r="P170" s="341" t="s">
        <v>1507</v>
      </c>
      <c r="Q170" s="390" t="s">
        <v>349</v>
      </c>
      <c r="R170" s="390">
        <v>3076</v>
      </c>
    </row>
    <row r="171" spans="1:18" ht="18.75" customHeight="1" x14ac:dyDescent="0.2">
      <c r="A171" s="388" t="s">
        <v>1393</v>
      </c>
      <c r="B171" s="388" t="s">
        <v>1394</v>
      </c>
      <c r="C171" s="389">
        <v>3010</v>
      </c>
      <c r="D171" s="390" t="s">
        <v>443</v>
      </c>
      <c r="E171" s="391" t="s">
        <v>1347</v>
      </c>
      <c r="F171" s="392"/>
      <c r="G171" s="392">
        <v>8126007174</v>
      </c>
      <c r="H171" s="392" t="s">
        <v>1397</v>
      </c>
      <c r="I171" s="393" t="s">
        <v>1276</v>
      </c>
      <c r="J171" s="392"/>
      <c r="K171" s="341"/>
      <c r="L171" s="341" t="s">
        <v>1398</v>
      </c>
      <c r="M171" s="341" t="s">
        <v>1396</v>
      </c>
      <c r="N171" s="341" t="s">
        <v>1395</v>
      </c>
      <c r="O171" s="341">
        <v>1005977680</v>
      </c>
      <c r="P171" s="341" t="s">
        <v>1507</v>
      </c>
      <c r="Q171" s="390" t="s">
        <v>1394</v>
      </c>
      <c r="R171" s="390">
        <v>3010</v>
      </c>
    </row>
    <row r="172" spans="1:18" ht="18.75" customHeight="1" x14ac:dyDescent="0.2">
      <c r="A172" s="388" t="s">
        <v>1571</v>
      </c>
      <c r="B172" s="388" t="s">
        <v>1572</v>
      </c>
      <c r="C172" s="389">
        <v>4000</v>
      </c>
      <c r="D172" s="390" t="s">
        <v>1327</v>
      </c>
      <c r="E172" s="391" t="s">
        <v>1573</v>
      </c>
      <c r="F172" s="392"/>
      <c r="G172" s="392">
        <v>8126007200</v>
      </c>
      <c r="H172" s="392" t="s">
        <v>1574</v>
      </c>
      <c r="I172" s="393" t="s">
        <v>610</v>
      </c>
      <c r="J172" s="392"/>
      <c r="K172" s="341"/>
      <c r="L172" s="341"/>
      <c r="M172" s="341"/>
      <c r="N172" s="341"/>
      <c r="O172" s="341"/>
      <c r="P172" s="341"/>
      <c r="Q172" s="390" t="s">
        <v>1572</v>
      </c>
      <c r="R172" s="390">
        <v>4000</v>
      </c>
    </row>
    <row r="173" spans="1:18" ht="18.75" customHeight="1" x14ac:dyDescent="0.2">
      <c r="A173" s="388" t="s">
        <v>1081</v>
      </c>
      <c r="B173" s="388" t="s">
        <v>425</v>
      </c>
      <c r="C173" s="389">
        <v>6040</v>
      </c>
      <c r="D173" s="390" t="s">
        <v>242</v>
      </c>
      <c r="E173" s="391" t="s">
        <v>243</v>
      </c>
      <c r="F173" s="392"/>
      <c r="G173" s="392">
        <v>8126007104</v>
      </c>
      <c r="H173" s="392" t="s">
        <v>866</v>
      </c>
      <c r="I173" s="393" t="s">
        <v>1313</v>
      </c>
      <c r="J173" s="392"/>
      <c r="K173" s="341" t="s">
        <v>735</v>
      </c>
      <c r="L173" s="341"/>
      <c r="M173" s="341"/>
      <c r="N173" s="341"/>
      <c r="O173" s="341"/>
      <c r="P173" s="341"/>
      <c r="Q173" s="390" t="s">
        <v>425</v>
      </c>
      <c r="R173" s="390">
        <v>6040</v>
      </c>
    </row>
    <row r="174" spans="1:18" ht="18.75" customHeight="1" x14ac:dyDescent="0.2">
      <c r="A174" s="388" t="s">
        <v>1082</v>
      </c>
      <c r="B174" s="388" t="s">
        <v>350</v>
      </c>
      <c r="C174" s="389">
        <v>3073</v>
      </c>
      <c r="D174" s="390" t="s">
        <v>443</v>
      </c>
      <c r="E174" s="391" t="s">
        <v>279</v>
      </c>
      <c r="F174" s="392"/>
      <c r="G174" s="392">
        <v>8126006232</v>
      </c>
      <c r="H174" s="392" t="s">
        <v>867</v>
      </c>
      <c r="I174" s="393" t="s">
        <v>935</v>
      </c>
      <c r="J174" s="392"/>
      <c r="K174" s="341" t="s">
        <v>310</v>
      </c>
      <c r="L174" s="341" t="s">
        <v>1256</v>
      </c>
      <c r="M174" s="341" t="s">
        <v>496</v>
      </c>
      <c r="N174" s="341" t="s">
        <v>533</v>
      </c>
      <c r="O174" s="341">
        <v>1005977726</v>
      </c>
      <c r="P174" s="341" t="s">
        <v>1507</v>
      </c>
      <c r="Q174" s="390" t="s">
        <v>350</v>
      </c>
      <c r="R174" s="390">
        <v>3073</v>
      </c>
    </row>
    <row r="175" spans="1:18" ht="18.75" customHeight="1" x14ac:dyDescent="0.2">
      <c r="A175" s="388" t="s">
        <v>1083</v>
      </c>
      <c r="B175" s="388" t="s">
        <v>928</v>
      </c>
      <c r="C175" s="389">
        <v>3030</v>
      </c>
      <c r="D175" s="390" t="s">
        <v>449</v>
      </c>
      <c r="E175" s="391" t="s">
        <v>266</v>
      </c>
      <c r="F175" s="392"/>
      <c r="G175" s="392">
        <v>8126007126</v>
      </c>
      <c r="H175" s="392" t="s">
        <v>929</v>
      </c>
      <c r="I175" s="393" t="s">
        <v>877</v>
      </c>
      <c r="J175" s="392"/>
      <c r="K175" s="341"/>
      <c r="L175" s="341"/>
      <c r="M175" s="341"/>
      <c r="N175" s="341"/>
      <c r="O175" s="341"/>
      <c r="P175" s="341"/>
      <c r="Q175" s="390" t="s">
        <v>928</v>
      </c>
      <c r="R175" s="390">
        <v>3030</v>
      </c>
    </row>
    <row r="176" spans="1:18" ht="18.75" customHeight="1" x14ac:dyDescent="0.2">
      <c r="A176" s="388" t="s">
        <v>1454</v>
      </c>
      <c r="B176" s="388" t="s">
        <v>1455</v>
      </c>
      <c r="C176" s="389">
        <v>6000</v>
      </c>
      <c r="D176" s="390" t="s">
        <v>461</v>
      </c>
      <c r="E176" s="391" t="s">
        <v>1525</v>
      </c>
      <c r="F176" s="392"/>
      <c r="G176" s="392">
        <v>0</v>
      </c>
      <c r="H176" s="392" t="s">
        <v>1456</v>
      </c>
      <c r="I176" s="393" t="s">
        <v>1313</v>
      </c>
      <c r="J176" s="392"/>
      <c r="K176" s="341"/>
      <c r="L176" s="341"/>
      <c r="M176" s="341"/>
      <c r="N176" s="341"/>
      <c r="O176" s="341"/>
      <c r="P176" s="341"/>
      <c r="Q176" s="390" t="s">
        <v>1455</v>
      </c>
      <c r="R176" s="390">
        <v>6000</v>
      </c>
    </row>
    <row r="177" spans="1:18" ht="18.75" customHeight="1" x14ac:dyDescent="0.2">
      <c r="A177" s="388" t="s">
        <v>1084</v>
      </c>
      <c r="B177" s="388" t="s">
        <v>351</v>
      </c>
      <c r="C177" s="389">
        <v>3077</v>
      </c>
      <c r="D177" s="390" t="s">
        <v>443</v>
      </c>
      <c r="E177" s="391" t="s">
        <v>390</v>
      </c>
      <c r="F177" s="392"/>
      <c r="G177" s="392">
        <v>8126006270</v>
      </c>
      <c r="H177" s="392" t="s">
        <v>868</v>
      </c>
      <c r="I177" s="393" t="s">
        <v>612</v>
      </c>
      <c r="J177" s="392"/>
      <c r="K177" s="341" t="s">
        <v>310</v>
      </c>
      <c r="L177" s="341" t="s">
        <v>1778</v>
      </c>
      <c r="M177" s="341" t="s">
        <v>1779</v>
      </c>
      <c r="N177" s="341" t="s">
        <v>1780</v>
      </c>
      <c r="O177" s="341">
        <v>1005977752</v>
      </c>
      <c r="P177" s="341" t="s">
        <v>1507</v>
      </c>
      <c r="Q177" s="390" t="s">
        <v>351</v>
      </c>
      <c r="R177" s="390">
        <v>3077</v>
      </c>
    </row>
    <row r="178" spans="1:18" ht="18.75" customHeight="1" x14ac:dyDescent="0.2">
      <c r="A178" s="388" t="s">
        <v>1085</v>
      </c>
      <c r="B178" s="388" t="s">
        <v>211</v>
      </c>
      <c r="C178" s="389">
        <v>3072</v>
      </c>
      <c r="D178" s="390" t="s">
        <v>443</v>
      </c>
      <c r="E178" s="391" t="s">
        <v>471</v>
      </c>
      <c r="F178" s="392"/>
      <c r="G178" s="392">
        <v>8126006613</v>
      </c>
      <c r="H178" s="392" t="s">
        <v>869</v>
      </c>
      <c r="I178" s="393" t="s">
        <v>766</v>
      </c>
      <c r="J178" s="392"/>
      <c r="K178" s="341"/>
      <c r="L178" s="341" t="s">
        <v>1642</v>
      </c>
      <c r="M178" s="341" t="s">
        <v>1400</v>
      </c>
      <c r="N178" s="341" t="s">
        <v>1399</v>
      </c>
      <c r="O178" s="341">
        <v>1005977677</v>
      </c>
      <c r="P178" s="341" t="s">
        <v>1507</v>
      </c>
      <c r="Q178" s="390" t="s">
        <v>211</v>
      </c>
      <c r="R178" s="390">
        <v>3072</v>
      </c>
    </row>
    <row r="179" spans="1:18" ht="18.75" customHeight="1" x14ac:dyDescent="0.2">
      <c r="A179" s="388" t="s">
        <v>1086</v>
      </c>
      <c r="B179" s="388" t="s">
        <v>352</v>
      </c>
      <c r="C179" s="389">
        <v>3073</v>
      </c>
      <c r="D179" s="390" t="s">
        <v>443</v>
      </c>
      <c r="E179" s="391" t="s">
        <v>280</v>
      </c>
      <c r="F179" s="392"/>
      <c r="G179" s="392">
        <v>8126007017</v>
      </c>
      <c r="H179" s="392" t="s">
        <v>870</v>
      </c>
      <c r="I179" s="393" t="s">
        <v>935</v>
      </c>
      <c r="J179" s="392"/>
      <c r="K179" s="341" t="s">
        <v>310</v>
      </c>
      <c r="L179" s="341" t="s">
        <v>1781</v>
      </c>
      <c r="M179" s="341" t="s">
        <v>1782</v>
      </c>
      <c r="N179" s="341" t="s">
        <v>1783</v>
      </c>
      <c r="O179" s="341">
        <v>1005977734</v>
      </c>
      <c r="P179" s="341" t="s">
        <v>1507</v>
      </c>
      <c r="Q179" s="390" t="s">
        <v>352</v>
      </c>
      <c r="R179" s="390">
        <v>3073</v>
      </c>
    </row>
    <row r="180" spans="1:18" ht="18.75" customHeight="1" x14ac:dyDescent="0.2">
      <c r="A180" s="388" t="s">
        <v>1087</v>
      </c>
      <c r="B180" s="388" t="s">
        <v>212</v>
      </c>
      <c r="C180" s="389">
        <v>6020</v>
      </c>
      <c r="D180" s="390" t="s">
        <v>459</v>
      </c>
      <c r="E180" s="391" t="s">
        <v>12</v>
      </c>
      <c r="F180" s="392"/>
      <c r="G180" s="392">
        <v>8126007018</v>
      </c>
      <c r="H180" s="392" t="s">
        <v>871</v>
      </c>
      <c r="I180" s="393" t="s">
        <v>609</v>
      </c>
      <c r="J180" s="392"/>
      <c r="K180" s="341" t="s">
        <v>736</v>
      </c>
      <c r="L180" s="341"/>
      <c r="M180" s="341"/>
      <c r="N180" s="341"/>
      <c r="O180" s="341"/>
      <c r="P180" s="341"/>
      <c r="Q180" s="390" t="s">
        <v>212</v>
      </c>
      <c r="R180" s="390">
        <v>6020</v>
      </c>
    </row>
    <row r="181" spans="1:18" ht="18.75" customHeight="1" x14ac:dyDescent="0.2">
      <c r="A181" s="388" t="s">
        <v>1088</v>
      </c>
      <c r="B181" s="388" t="s">
        <v>213</v>
      </c>
      <c r="C181" s="389">
        <v>3070</v>
      </c>
      <c r="D181" s="390" t="s">
        <v>443</v>
      </c>
      <c r="E181" s="391" t="s">
        <v>281</v>
      </c>
      <c r="F181" s="392"/>
      <c r="G181" s="392">
        <v>8126006573</v>
      </c>
      <c r="H181" s="392" t="s">
        <v>872</v>
      </c>
      <c r="I181" s="393" t="s">
        <v>615</v>
      </c>
      <c r="J181" s="392"/>
      <c r="K181" s="341"/>
      <c r="L181" s="341" t="s">
        <v>1258</v>
      </c>
      <c r="M181" s="341" t="s">
        <v>482</v>
      </c>
      <c r="N181" s="341" t="s">
        <v>534</v>
      </c>
      <c r="O181" s="341">
        <v>1005977704</v>
      </c>
      <c r="P181" s="341" t="s">
        <v>1507</v>
      </c>
      <c r="Q181" s="390" t="s">
        <v>213</v>
      </c>
      <c r="R181" s="390">
        <v>3070</v>
      </c>
    </row>
    <row r="182" spans="1:18" ht="18.75" customHeight="1" x14ac:dyDescent="0.2">
      <c r="A182" s="388" t="s">
        <v>1594</v>
      </c>
      <c r="B182" s="388" t="s">
        <v>1595</v>
      </c>
      <c r="C182" s="389">
        <v>5001</v>
      </c>
      <c r="D182" s="390" t="s">
        <v>1335</v>
      </c>
      <c r="E182" s="391" t="s">
        <v>1596</v>
      </c>
      <c r="F182" s="392"/>
      <c r="G182" s="392"/>
      <c r="H182" s="392" t="s">
        <v>1597</v>
      </c>
      <c r="I182" s="393" t="s">
        <v>616</v>
      </c>
      <c r="J182" s="392"/>
      <c r="K182" s="341"/>
      <c r="L182" s="341"/>
      <c r="M182" s="341"/>
      <c r="N182" s="341"/>
      <c r="O182" s="341"/>
      <c r="P182" s="341"/>
      <c r="Q182" s="390" t="s">
        <v>1595</v>
      </c>
      <c r="R182" s="390">
        <v>5001</v>
      </c>
    </row>
    <row r="183" spans="1:18" ht="18.75" customHeight="1" x14ac:dyDescent="0.2">
      <c r="A183" s="388" t="s">
        <v>1900</v>
      </c>
      <c r="B183" s="388" t="s">
        <v>1901</v>
      </c>
      <c r="C183" s="389">
        <v>3030</v>
      </c>
      <c r="D183" s="390" t="s">
        <v>1356</v>
      </c>
      <c r="E183" s="391" t="s">
        <v>1902</v>
      </c>
      <c r="F183" s="392"/>
      <c r="G183" s="392"/>
      <c r="H183" s="392"/>
      <c r="I183" s="393" t="s">
        <v>877</v>
      </c>
      <c r="J183" s="392"/>
      <c r="K183" s="341"/>
      <c r="L183" s="341"/>
      <c r="M183" s="341"/>
      <c r="N183" s="341"/>
      <c r="O183" s="341"/>
      <c r="P183" s="341"/>
      <c r="Q183" s="390" t="s">
        <v>1901</v>
      </c>
      <c r="R183" s="390">
        <v>3030</v>
      </c>
    </row>
    <row r="184" spans="1:18" ht="18.75" customHeight="1" x14ac:dyDescent="0.2">
      <c r="A184" s="388" t="s">
        <v>1526</v>
      </c>
      <c r="B184" s="388" t="s">
        <v>1527</v>
      </c>
      <c r="C184" s="389">
        <v>6010</v>
      </c>
      <c r="D184" s="390" t="s">
        <v>454</v>
      </c>
      <c r="E184" s="391" t="s">
        <v>1528</v>
      </c>
      <c r="F184" s="392"/>
      <c r="G184" s="392">
        <v>0</v>
      </c>
      <c r="H184" s="392" t="s">
        <v>1575</v>
      </c>
      <c r="I184" s="393" t="s">
        <v>1313</v>
      </c>
      <c r="J184" s="392"/>
      <c r="K184" s="341"/>
      <c r="L184" s="341"/>
      <c r="M184" s="341"/>
      <c r="N184" s="341"/>
      <c r="O184" s="341"/>
      <c r="P184" s="341"/>
      <c r="Q184" s="390" t="s">
        <v>1527</v>
      </c>
      <c r="R184" s="390">
        <v>6010</v>
      </c>
    </row>
    <row r="185" spans="1:18" ht="18.75" customHeight="1" x14ac:dyDescent="0.2">
      <c r="A185" s="354" t="s">
        <v>1089</v>
      </c>
      <c r="B185" s="354" t="s">
        <v>649</v>
      </c>
      <c r="C185" s="354">
        <v>3030</v>
      </c>
      <c r="D185" s="394" t="s">
        <v>449</v>
      </c>
      <c r="E185" s="377" t="s">
        <v>266</v>
      </c>
      <c r="F185" s="355"/>
      <c r="G185" s="355">
        <v>8126007027</v>
      </c>
      <c r="H185" s="359" t="s">
        <v>873</v>
      </c>
      <c r="I185" s="359" t="s">
        <v>877</v>
      </c>
      <c r="J185" s="356"/>
      <c r="K185" s="357" t="s">
        <v>310</v>
      </c>
      <c r="L185" s="357"/>
      <c r="M185" s="357"/>
      <c r="N185" s="358"/>
      <c r="O185" s="359"/>
      <c r="P185" s="383"/>
      <c r="Q185" s="354" t="s">
        <v>649</v>
      </c>
      <c r="R185" s="354">
        <v>3030</v>
      </c>
    </row>
    <row r="186" spans="1:18" ht="18.75" customHeight="1" x14ac:dyDescent="0.2">
      <c r="A186" s="388" t="s">
        <v>1090</v>
      </c>
      <c r="B186" s="388" t="s">
        <v>623</v>
      </c>
      <c r="C186" s="389">
        <v>5001</v>
      </c>
      <c r="D186" s="390" t="s">
        <v>1335</v>
      </c>
      <c r="E186" s="391" t="s">
        <v>624</v>
      </c>
      <c r="F186" s="392" t="s">
        <v>1187</v>
      </c>
      <c r="G186" s="392">
        <v>8126007087</v>
      </c>
      <c r="H186" s="392" t="s">
        <v>616</v>
      </c>
      <c r="I186" s="393" t="s">
        <v>1313</v>
      </c>
      <c r="J186" s="392"/>
      <c r="K186" s="341" t="s">
        <v>737</v>
      </c>
      <c r="L186" s="341"/>
      <c r="M186" s="341"/>
      <c r="N186" s="341"/>
      <c r="O186" s="341"/>
      <c r="P186" s="341" t="s">
        <v>1507</v>
      </c>
      <c r="Q186" s="390" t="s">
        <v>623</v>
      </c>
      <c r="R186" s="390">
        <v>5001</v>
      </c>
    </row>
    <row r="187" spans="1:18" ht="18.75" customHeight="1" x14ac:dyDescent="0.2">
      <c r="A187" s="388" t="s">
        <v>1091</v>
      </c>
      <c r="B187" s="388" t="s">
        <v>435</v>
      </c>
      <c r="C187" s="389">
        <v>3072</v>
      </c>
      <c r="D187" s="390" t="s">
        <v>443</v>
      </c>
      <c r="E187" s="391" t="s">
        <v>376</v>
      </c>
      <c r="F187" s="392"/>
      <c r="G187" s="392">
        <v>8126007069</v>
      </c>
      <c r="H187" s="392" t="s">
        <v>874</v>
      </c>
      <c r="I187" s="393" t="s">
        <v>766</v>
      </c>
      <c r="J187" s="392"/>
      <c r="K187" s="341"/>
      <c r="L187" s="341" t="s">
        <v>1259</v>
      </c>
      <c r="M187" s="341" t="s">
        <v>497</v>
      </c>
      <c r="N187" s="341" t="s">
        <v>535</v>
      </c>
      <c r="O187" s="341">
        <v>1005611139</v>
      </c>
      <c r="P187" s="341" t="s">
        <v>1507</v>
      </c>
      <c r="Q187" s="390" t="s">
        <v>435</v>
      </c>
      <c r="R187" s="390">
        <v>3072</v>
      </c>
    </row>
    <row r="188" spans="1:18" ht="18.75" customHeight="1" x14ac:dyDescent="0.2">
      <c r="A188" s="388" t="s">
        <v>1092</v>
      </c>
      <c r="B188" s="388" t="s">
        <v>975</v>
      </c>
      <c r="C188" s="389">
        <v>3000</v>
      </c>
      <c r="D188" s="390" t="s">
        <v>445</v>
      </c>
      <c r="E188" s="391" t="s">
        <v>173</v>
      </c>
      <c r="F188" s="392"/>
      <c r="G188" s="392">
        <v>0</v>
      </c>
      <c r="H188" s="392" t="s">
        <v>976</v>
      </c>
      <c r="I188" s="393" t="s">
        <v>1276</v>
      </c>
      <c r="J188" s="392"/>
      <c r="K188" s="341"/>
      <c r="L188" s="341"/>
      <c r="M188" s="341"/>
      <c r="N188" s="341"/>
      <c r="O188" s="341"/>
      <c r="P188" s="341" t="s">
        <v>1507</v>
      </c>
      <c r="Q188" s="390" t="s">
        <v>975</v>
      </c>
      <c r="R188" s="390">
        <v>3000</v>
      </c>
    </row>
    <row r="189" spans="1:18" ht="18.75" customHeight="1" x14ac:dyDescent="0.2">
      <c r="A189" s="354" t="s">
        <v>1093</v>
      </c>
      <c r="B189" s="354" t="s">
        <v>214</v>
      </c>
      <c r="C189" s="354">
        <v>3070</v>
      </c>
      <c r="D189" s="394" t="s">
        <v>443</v>
      </c>
      <c r="E189" s="377" t="s">
        <v>374</v>
      </c>
      <c r="F189" s="355"/>
      <c r="G189" s="355">
        <v>8126006644</v>
      </c>
      <c r="H189" s="359" t="s">
        <v>875</v>
      </c>
      <c r="I189" s="359" t="s">
        <v>615</v>
      </c>
      <c r="J189" s="356"/>
      <c r="K189" s="357" t="s">
        <v>310</v>
      </c>
      <c r="L189" s="357"/>
      <c r="M189" s="357"/>
      <c r="N189" s="358"/>
      <c r="O189" s="359"/>
      <c r="P189" s="383" t="s">
        <v>1507</v>
      </c>
      <c r="Q189" s="354" t="s">
        <v>214</v>
      </c>
      <c r="R189" s="354">
        <v>3070</v>
      </c>
    </row>
    <row r="190" spans="1:18" ht="18.75" customHeight="1" x14ac:dyDescent="0.2">
      <c r="A190" s="388" t="s">
        <v>1401</v>
      </c>
      <c r="B190" s="388" t="s">
        <v>353</v>
      </c>
      <c r="C190" s="389">
        <v>3073</v>
      </c>
      <c r="D190" s="390" t="s">
        <v>443</v>
      </c>
      <c r="E190" s="391" t="s">
        <v>282</v>
      </c>
      <c r="F190" s="392"/>
      <c r="G190" s="392">
        <v>8126006379</v>
      </c>
      <c r="H190" s="392" t="s">
        <v>876</v>
      </c>
      <c r="I190" s="393" t="s">
        <v>935</v>
      </c>
      <c r="J190" s="392"/>
      <c r="K190" s="341"/>
      <c r="L190" s="341" t="s">
        <v>1784</v>
      </c>
      <c r="M190" s="341" t="s">
        <v>1785</v>
      </c>
      <c r="N190" s="341" t="s">
        <v>1786</v>
      </c>
      <c r="O190" s="341">
        <v>1005977715</v>
      </c>
      <c r="P190" s="341" t="s">
        <v>1507</v>
      </c>
      <c r="Q190" s="390" t="s">
        <v>353</v>
      </c>
      <c r="R190" s="390">
        <v>3073</v>
      </c>
    </row>
    <row r="191" spans="1:18" ht="18.75" customHeight="1" x14ac:dyDescent="0.2">
      <c r="A191" s="388" t="s">
        <v>1094</v>
      </c>
      <c r="B191" s="388" t="s">
        <v>215</v>
      </c>
      <c r="C191" s="389">
        <v>3030</v>
      </c>
      <c r="D191" s="390" t="s">
        <v>449</v>
      </c>
      <c r="E191" s="391" t="s">
        <v>674</v>
      </c>
      <c r="F191" s="392" t="s">
        <v>1188</v>
      </c>
      <c r="G191" s="392">
        <v>8126006660</v>
      </c>
      <c r="H191" s="392" t="s">
        <v>877</v>
      </c>
      <c r="I191" s="393" t="s">
        <v>1313</v>
      </c>
      <c r="J191" s="392"/>
      <c r="K191" s="341" t="s">
        <v>738</v>
      </c>
      <c r="L191" s="341" t="s">
        <v>1861</v>
      </c>
      <c r="M191" s="341" t="s">
        <v>1862</v>
      </c>
      <c r="N191" s="341" t="s">
        <v>1863</v>
      </c>
      <c r="O191" s="341"/>
      <c r="P191" s="341" t="s">
        <v>1507</v>
      </c>
      <c r="Q191" s="390" t="s">
        <v>215</v>
      </c>
      <c r="R191" s="390">
        <v>3030</v>
      </c>
    </row>
    <row r="192" spans="1:18" ht="18.75" customHeight="1" x14ac:dyDescent="0.2">
      <c r="A192" s="388" t="s">
        <v>1402</v>
      </c>
      <c r="B192" s="388" t="s">
        <v>1403</v>
      </c>
      <c r="C192" s="389">
        <v>2060</v>
      </c>
      <c r="D192" s="390" t="s">
        <v>447</v>
      </c>
      <c r="E192" s="391" t="s">
        <v>261</v>
      </c>
      <c r="F192" s="392"/>
      <c r="G192" s="392">
        <v>8126007044</v>
      </c>
      <c r="H192" s="392" t="s">
        <v>1404</v>
      </c>
      <c r="I192" s="393" t="s">
        <v>765</v>
      </c>
      <c r="J192" s="392"/>
      <c r="K192" s="341"/>
      <c r="L192" s="341"/>
      <c r="M192" s="341"/>
      <c r="N192" s="341"/>
      <c r="O192" s="341"/>
      <c r="P192" s="341"/>
      <c r="Q192" s="390" t="s">
        <v>1403</v>
      </c>
      <c r="R192" s="390">
        <v>2060</v>
      </c>
    </row>
    <row r="193" spans="1:18" ht="18.75" customHeight="1" x14ac:dyDescent="0.2">
      <c r="A193" s="388" t="s">
        <v>1095</v>
      </c>
      <c r="B193" s="388" t="s">
        <v>216</v>
      </c>
      <c r="C193" s="389">
        <v>3070</v>
      </c>
      <c r="D193" s="390" t="s">
        <v>443</v>
      </c>
      <c r="E193" s="391" t="s">
        <v>391</v>
      </c>
      <c r="F193" s="392"/>
      <c r="G193" s="392">
        <v>8126006629</v>
      </c>
      <c r="H193" s="392" t="s">
        <v>878</v>
      </c>
      <c r="I193" s="393" t="s">
        <v>615</v>
      </c>
      <c r="J193" s="392"/>
      <c r="K193" s="341" t="s">
        <v>310</v>
      </c>
      <c r="L193" s="341" t="s">
        <v>1787</v>
      </c>
      <c r="M193" s="341" t="s">
        <v>1788</v>
      </c>
      <c r="N193" s="341" t="s">
        <v>1789</v>
      </c>
      <c r="O193" s="341">
        <v>1005977762</v>
      </c>
      <c r="P193" s="341" t="s">
        <v>1507</v>
      </c>
      <c r="Q193" s="390" t="s">
        <v>216</v>
      </c>
      <c r="R193" s="390">
        <v>3070</v>
      </c>
    </row>
    <row r="194" spans="1:18" ht="18.75" customHeight="1" x14ac:dyDescent="0.2">
      <c r="A194" s="388" t="s">
        <v>1096</v>
      </c>
      <c r="B194" s="388" t="s">
        <v>217</v>
      </c>
      <c r="C194" s="389">
        <v>3072</v>
      </c>
      <c r="D194" s="390" t="s">
        <v>443</v>
      </c>
      <c r="E194" s="391" t="s">
        <v>472</v>
      </c>
      <c r="F194" s="392"/>
      <c r="G194" s="392">
        <v>8126006511</v>
      </c>
      <c r="H194" s="392" t="s">
        <v>879</v>
      </c>
      <c r="I194" s="393" t="s">
        <v>766</v>
      </c>
      <c r="J194" s="392"/>
      <c r="K194" s="341" t="s">
        <v>310</v>
      </c>
      <c r="L194" s="341" t="s">
        <v>1302</v>
      </c>
      <c r="M194" s="341" t="s">
        <v>953</v>
      </c>
      <c r="N194" s="341" t="s">
        <v>1301</v>
      </c>
      <c r="O194" s="341" t="s">
        <v>1948</v>
      </c>
      <c r="P194" s="341" t="s">
        <v>1507</v>
      </c>
      <c r="Q194" s="390" t="s">
        <v>217</v>
      </c>
      <c r="R194" s="390">
        <v>3072</v>
      </c>
    </row>
    <row r="195" spans="1:18" ht="18.75" customHeight="1" x14ac:dyDescent="0.2">
      <c r="A195" s="388" t="s">
        <v>1405</v>
      </c>
      <c r="B195" s="388" t="s">
        <v>218</v>
      </c>
      <c r="C195" s="389">
        <v>6010</v>
      </c>
      <c r="D195" s="390" t="s">
        <v>454</v>
      </c>
      <c r="E195" s="391" t="s">
        <v>253</v>
      </c>
      <c r="F195" s="392"/>
      <c r="G195" s="392">
        <v>8126006595</v>
      </c>
      <c r="H195" s="392" t="s">
        <v>880</v>
      </c>
      <c r="I195" s="393" t="s">
        <v>1313</v>
      </c>
      <c r="J195" s="392"/>
      <c r="K195" s="341" t="s">
        <v>739</v>
      </c>
      <c r="L195" s="341"/>
      <c r="M195" s="341"/>
      <c r="N195" s="341"/>
      <c r="O195" s="341"/>
      <c r="P195" s="341"/>
      <c r="Q195" s="390" t="s">
        <v>218</v>
      </c>
      <c r="R195" s="390">
        <v>6010</v>
      </c>
    </row>
    <row r="196" spans="1:18" ht="18.75" customHeight="1" x14ac:dyDescent="0.2">
      <c r="A196" s="388" t="s">
        <v>1097</v>
      </c>
      <c r="B196" s="388" t="s">
        <v>354</v>
      </c>
      <c r="C196" s="389">
        <v>3073</v>
      </c>
      <c r="D196" s="390" t="s">
        <v>443</v>
      </c>
      <c r="E196" s="391" t="s">
        <v>392</v>
      </c>
      <c r="F196" s="392"/>
      <c r="G196" s="392">
        <v>8126006648</v>
      </c>
      <c r="H196" s="392" t="s">
        <v>881</v>
      </c>
      <c r="I196" s="393" t="s">
        <v>935</v>
      </c>
      <c r="J196" s="392"/>
      <c r="K196" s="341" t="s">
        <v>310</v>
      </c>
      <c r="L196" s="341" t="s">
        <v>1260</v>
      </c>
      <c r="M196" s="341" t="s">
        <v>755</v>
      </c>
      <c r="N196" s="341" t="s">
        <v>754</v>
      </c>
      <c r="O196" s="341" t="s">
        <v>638</v>
      </c>
      <c r="P196" s="341" t="s">
        <v>1507</v>
      </c>
      <c r="Q196" s="390" t="s">
        <v>354</v>
      </c>
      <c r="R196" s="390">
        <v>3073</v>
      </c>
    </row>
    <row r="197" spans="1:18" ht="18.75" customHeight="1" x14ac:dyDescent="0.2">
      <c r="A197" s="388" t="s">
        <v>1098</v>
      </c>
      <c r="B197" s="388" t="s">
        <v>219</v>
      </c>
      <c r="C197" s="389">
        <v>3070</v>
      </c>
      <c r="D197" s="390" t="s">
        <v>443</v>
      </c>
      <c r="E197" s="391" t="s">
        <v>374</v>
      </c>
      <c r="F197" s="392"/>
      <c r="G197" s="392">
        <v>8126006332</v>
      </c>
      <c r="H197" s="392" t="s">
        <v>882</v>
      </c>
      <c r="I197" s="393" t="s">
        <v>615</v>
      </c>
      <c r="J197" s="392"/>
      <c r="K197" s="341" t="s">
        <v>310</v>
      </c>
      <c r="L197" s="341" t="s">
        <v>1261</v>
      </c>
      <c r="M197" s="341" t="s">
        <v>483</v>
      </c>
      <c r="N197" s="341" t="s">
        <v>536</v>
      </c>
      <c r="O197" s="341">
        <v>1005611132</v>
      </c>
      <c r="P197" s="341" t="s">
        <v>1507</v>
      </c>
      <c r="Q197" s="390" t="s">
        <v>219</v>
      </c>
      <c r="R197" s="390">
        <v>3070</v>
      </c>
    </row>
    <row r="198" spans="1:18" ht="18.75" customHeight="1" x14ac:dyDescent="0.2">
      <c r="A198" s="348" t="s">
        <v>1099</v>
      </c>
      <c r="B198" s="348" t="s">
        <v>393</v>
      </c>
      <c r="C198" s="348">
        <v>3002</v>
      </c>
      <c r="D198" s="396" t="s">
        <v>443</v>
      </c>
      <c r="E198" s="396" t="s">
        <v>1377</v>
      </c>
      <c r="F198" s="350"/>
      <c r="G198" s="350" t="s">
        <v>310</v>
      </c>
      <c r="H198" s="350" t="s">
        <v>883</v>
      </c>
      <c r="I198" s="396" t="s">
        <v>1276</v>
      </c>
      <c r="J198" s="351">
        <v>42900010</v>
      </c>
      <c r="K198" s="352" t="s">
        <v>310</v>
      </c>
      <c r="L198" s="352" t="s">
        <v>1790</v>
      </c>
      <c r="M198" s="352" t="s">
        <v>1791</v>
      </c>
      <c r="N198" s="353" t="s">
        <v>1792</v>
      </c>
      <c r="O198" s="396">
        <v>1005611149</v>
      </c>
      <c r="P198" s="349" t="s">
        <v>1507</v>
      </c>
      <c r="Q198" s="348" t="s">
        <v>393</v>
      </c>
      <c r="R198" s="348">
        <v>3002</v>
      </c>
    </row>
    <row r="199" spans="1:18" ht="18.75" customHeight="1" x14ac:dyDescent="0.2">
      <c r="A199" s="348" t="s">
        <v>1903</v>
      </c>
      <c r="B199" s="348" t="s">
        <v>1904</v>
      </c>
      <c r="C199" s="348">
        <v>3002</v>
      </c>
      <c r="D199" s="396" t="s">
        <v>443</v>
      </c>
      <c r="E199" s="396" t="s">
        <v>1377</v>
      </c>
      <c r="F199" s="350"/>
      <c r="G199" s="350"/>
      <c r="H199" s="350"/>
      <c r="I199" s="396" t="s">
        <v>1276</v>
      </c>
      <c r="J199" s="351">
        <v>42900010</v>
      </c>
      <c r="K199" s="352"/>
      <c r="L199" s="352" t="s">
        <v>1949</v>
      </c>
      <c r="M199" s="352" t="s">
        <v>1950</v>
      </c>
      <c r="N199" s="353" t="s">
        <v>1951</v>
      </c>
      <c r="O199" s="396"/>
      <c r="P199" s="349" t="s">
        <v>1507</v>
      </c>
      <c r="Q199" s="348" t="s">
        <v>1904</v>
      </c>
      <c r="R199" s="348">
        <v>3002</v>
      </c>
    </row>
    <row r="200" spans="1:18" ht="18.75" customHeight="1" x14ac:dyDescent="0.2">
      <c r="A200" s="388" t="s">
        <v>1100</v>
      </c>
      <c r="B200" s="388" t="s">
        <v>355</v>
      </c>
      <c r="C200" s="389">
        <v>3078</v>
      </c>
      <c r="D200" s="390" t="s">
        <v>443</v>
      </c>
      <c r="E200" s="391" t="s">
        <v>283</v>
      </c>
      <c r="F200" s="392"/>
      <c r="G200" s="392">
        <v>8126006365</v>
      </c>
      <c r="H200" s="392" t="s">
        <v>884</v>
      </c>
      <c r="I200" s="393" t="s">
        <v>611</v>
      </c>
      <c r="J200" s="392"/>
      <c r="K200" s="341" t="s">
        <v>310</v>
      </c>
      <c r="L200" s="341" t="s">
        <v>1262</v>
      </c>
      <c r="M200" s="341" t="s">
        <v>484</v>
      </c>
      <c r="N200" s="341" t="s">
        <v>537</v>
      </c>
      <c r="O200" s="341">
        <v>1005977757</v>
      </c>
      <c r="P200" s="341" t="s">
        <v>1507</v>
      </c>
      <c r="Q200" s="390" t="s">
        <v>355</v>
      </c>
      <c r="R200" s="390">
        <v>3078</v>
      </c>
    </row>
    <row r="201" spans="1:18" ht="18.75" customHeight="1" x14ac:dyDescent="0.2">
      <c r="A201" s="388" t="s">
        <v>1101</v>
      </c>
      <c r="B201" s="388" t="s">
        <v>356</v>
      </c>
      <c r="C201" s="389">
        <v>3078</v>
      </c>
      <c r="D201" s="390" t="s">
        <v>443</v>
      </c>
      <c r="E201" s="391" t="s">
        <v>383</v>
      </c>
      <c r="F201" s="392"/>
      <c r="G201" s="392">
        <v>8126006366</v>
      </c>
      <c r="H201" s="392" t="s">
        <v>885</v>
      </c>
      <c r="I201" s="393" t="s">
        <v>611</v>
      </c>
      <c r="J201" s="392"/>
      <c r="K201" s="341" t="s">
        <v>310</v>
      </c>
      <c r="L201" s="341" t="s">
        <v>1793</v>
      </c>
      <c r="M201" s="341" t="s">
        <v>1794</v>
      </c>
      <c r="N201" s="341" t="s">
        <v>1795</v>
      </c>
      <c r="O201" s="341">
        <v>1005977753</v>
      </c>
      <c r="P201" s="341" t="s">
        <v>1507</v>
      </c>
      <c r="Q201" s="390" t="s">
        <v>356</v>
      </c>
      <c r="R201" s="390">
        <v>3078</v>
      </c>
    </row>
    <row r="202" spans="1:18" ht="18.75" customHeight="1" x14ac:dyDescent="0.2">
      <c r="A202" s="388" t="s">
        <v>1529</v>
      </c>
      <c r="B202" s="388" t="s">
        <v>1530</v>
      </c>
      <c r="C202" s="389">
        <v>5001</v>
      </c>
      <c r="D202" s="390" t="s">
        <v>675</v>
      </c>
      <c r="E202" s="391" t="s">
        <v>676</v>
      </c>
      <c r="F202" s="392"/>
      <c r="G202" s="392">
        <v>0</v>
      </c>
      <c r="H202" s="392"/>
      <c r="I202" s="393" t="s">
        <v>616</v>
      </c>
      <c r="J202" s="392"/>
      <c r="K202" s="341" t="s">
        <v>310</v>
      </c>
      <c r="L202" s="341"/>
      <c r="M202" s="341"/>
      <c r="N202" s="341"/>
      <c r="O202" s="341"/>
      <c r="P202" s="341"/>
      <c r="Q202" s="390" t="s">
        <v>1530</v>
      </c>
      <c r="R202" s="390">
        <v>5001</v>
      </c>
    </row>
    <row r="203" spans="1:18" ht="18.75" customHeight="1" x14ac:dyDescent="0.2">
      <c r="A203" s="354" t="s">
        <v>1140</v>
      </c>
      <c r="B203" s="354" t="s">
        <v>1531</v>
      </c>
      <c r="C203" s="354">
        <v>3000</v>
      </c>
      <c r="D203" s="394" t="s">
        <v>445</v>
      </c>
      <c r="E203" s="377" t="s">
        <v>173</v>
      </c>
      <c r="F203" s="355"/>
      <c r="G203" s="355">
        <v>0</v>
      </c>
      <c r="H203" s="359" t="s">
        <v>1169</v>
      </c>
      <c r="I203" s="359" t="s">
        <v>1276</v>
      </c>
      <c r="J203" s="356"/>
      <c r="K203" s="357"/>
      <c r="L203" s="357"/>
      <c r="M203" s="357"/>
      <c r="N203" s="358"/>
      <c r="O203" s="359"/>
      <c r="P203" s="383" t="s">
        <v>1507</v>
      </c>
      <c r="Q203" s="354" t="s">
        <v>1531</v>
      </c>
      <c r="R203" s="354">
        <v>3000</v>
      </c>
    </row>
    <row r="204" spans="1:18" ht="18.75" customHeight="1" x14ac:dyDescent="0.2">
      <c r="A204" s="388" t="s">
        <v>1532</v>
      </c>
      <c r="B204" s="388" t="s">
        <v>1533</v>
      </c>
      <c r="C204" s="389">
        <v>9090</v>
      </c>
      <c r="D204" s="390" t="s">
        <v>1335</v>
      </c>
      <c r="E204" s="391" t="s">
        <v>1534</v>
      </c>
      <c r="F204" s="392"/>
      <c r="G204" s="392">
        <v>0</v>
      </c>
      <c r="H204" s="392" t="s">
        <v>1576</v>
      </c>
      <c r="I204" s="393" t="s">
        <v>616</v>
      </c>
      <c r="J204" s="392"/>
      <c r="K204" s="341"/>
      <c r="L204" s="341"/>
      <c r="M204" s="341"/>
      <c r="N204" s="341"/>
      <c r="O204" s="341"/>
      <c r="P204" s="341"/>
      <c r="Q204" s="390" t="s">
        <v>1533</v>
      </c>
      <c r="R204" s="390">
        <v>9090</v>
      </c>
    </row>
    <row r="205" spans="1:18" ht="18.75" customHeight="1" x14ac:dyDescent="0.2">
      <c r="A205" s="388" t="s">
        <v>1952</v>
      </c>
      <c r="B205" s="388" t="s">
        <v>1953</v>
      </c>
      <c r="C205" s="389">
        <v>4000</v>
      </c>
      <c r="D205" s="390" t="s">
        <v>1339</v>
      </c>
      <c r="E205" s="391" t="s">
        <v>1676</v>
      </c>
      <c r="F205" s="392"/>
      <c r="G205" s="392"/>
      <c r="H205" s="392"/>
      <c r="I205" s="393" t="s">
        <v>610</v>
      </c>
      <c r="J205" s="392"/>
      <c r="K205" s="341"/>
      <c r="L205" s="341"/>
      <c r="M205" s="341"/>
      <c r="N205" s="341"/>
      <c r="O205" s="341"/>
      <c r="P205" s="341"/>
      <c r="Q205" s="390" t="s">
        <v>1953</v>
      </c>
      <c r="R205" s="390">
        <v>4000</v>
      </c>
    </row>
    <row r="206" spans="1:18" ht="18.75" customHeight="1" x14ac:dyDescent="0.2">
      <c r="A206" s="388" t="s">
        <v>1535</v>
      </c>
      <c r="B206" s="388" t="s">
        <v>1536</v>
      </c>
      <c r="C206" s="389">
        <v>3070</v>
      </c>
      <c r="D206" s="390" t="s">
        <v>443</v>
      </c>
      <c r="E206" s="391" t="s">
        <v>374</v>
      </c>
      <c r="F206" s="392"/>
      <c r="G206" s="392">
        <v>8126007180</v>
      </c>
      <c r="H206" s="392" t="s">
        <v>1457</v>
      </c>
      <c r="I206" s="393" t="s">
        <v>615</v>
      </c>
      <c r="J206" s="392"/>
      <c r="K206" s="341"/>
      <c r="L206" s="341" t="s">
        <v>1376</v>
      </c>
      <c r="M206" s="341" t="s">
        <v>1375</v>
      </c>
      <c r="N206" s="341" t="s">
        <v>1373</v>
      </c>
      <c r="O206" s="341" t="s">
        <v>1374</v>
      </c>
      <c r="P206" s="341" t="s">
        <v>1507</v>
      </c>
      <c r="Q206" s="390" t="s">
        <v>1536</v>
      </c>
      <c r="R206" s="390">
        <v>3070</v>
      </c>
    </row>
    <row r="207" spans="1:18" ht="18.75" customHeight="1" x14ac:dyDescent="0.2">
      <c r="A207" s="388" t="s">
        <v>1577</v>
      </c>
      <c r="B207" s="388" t="s">
        <v>1537</v>
      </c>
      <c r="C207" s="389">
        <v>5001</v>
      </c>
      <c r="D207" s="390" t="s">
        <v>1335</v>
      </c>
      <c r="E207" s="391" t="s">
        <v>256</v>
      </c>
      <c r="F207" s="392"/>
      <c r="G207" s="392">
        <v>8126006580</v>
      </c>
      <c r="H207" s="392" t="s">
        <v>886</v>
      </c>
      <c r="I207" s="393" t="s">
        <v>616</v>
      </c>
      <c r="J207" s="392"/>
      <c r="K207" s="341"/>
      <c r="L207" s="341"/>
      <c r="M207" s="341"/>
      <c r="N207" s="341"/>
      <c r="O207" s="341"/>
      <c r="P207" s="341" t="s">
        <v>1507</v>
      </c>
      <c r="Q207" s="390" t="s">
        <v>1537</v>
      </c>
      <c r="R207" s="390">
        <v>5001</v>
      </c>
    </row>
    <row r="208" spans="1:18" ht="18.75" customHeight="1" x14ac:dyDescent="0.2">
      <c r="A208" s="388" t="s">
        <v>1303</v>
      </c>
      <c r="B208" s="388" t="s">
        <v>1304</v>
      </c>
      <c r="C208" s="389">
        <v>3073</v>
      </c>
      <c r="D208" s="390" t="s">
        <v>443</v>
      </c>
      <c r="E208" s="391" t="s">
        <v>380</v>
      </c>
      <c r="F208" s="392"/>
      <c r="G208" s="392">
        <v>8126007164</v>
      </c>
      <c r="H208" s="392" t="s">
        <v>1319</v>
      </c>
      <c r="I208" s="393" t="s">
        <v>935</v>
      </c>
      <c r="J208" s="392"/>
      <c r="K208" s="341"/>
      <c r="L208" s="341" t="s">
        <v>1796</v>
      </c>
      <c r="M208" s="341" t="s">
        <v>1797</v>
      </c>
      <c r="N208" s="341" t="s">
        <v>1798</v>
      </c>
      <c r="O208" s="341">
        <v>1005611184</v>
      </c>
      <c r="P208" s="341" t="s">
        <v>1507</v>
      </c>
      <c r="Q208" s="390" t="s">
        <v>1304</v>
      </c>
      <c r="R208" s="390">
        <v>3073</v>
      </c>
    </row>
    <row r="209" spans="1:18" ht="18.75" customHeight="1" x14ac:dyDescent="0.2">
      <c r="A209" s="388" t="s">
        <v>1643</v>
      </c>
      <c r="B209" s="388" t="s">
        <v>1644</v>
      </c>
      <c r="C209" s="389">
        <v>3460</v>
      </c>
      <c r="D209" s="390" t="s">
        <v>1506</v>
      </c>
      <c r="E209" s="391" t="s">
        <v>1510</v>
      </c>
      <c r="F209" s="392"/>
      <c r="G209" s="392"/>
      <c r="H209" s="392" t="s">
        <v>1645</v>
      </c>
      <c r="I209" s="393" t="s">
        <v>1326</v>
      </c>
      <c r="J209" s="392"/>
      <c r="K209" s="341"/>
      <c r="L209" s="341" t="s">
        <v>1646</v>
      </c>
      <c r="M209" s="341" t="s">
        <v>1647</v>
      </c>
      <c r="N209" s="341" t="s">
        <v>1648</v>
      </c>
      <c r="O209" s="341"/>
      <c r="P209" s="341" t="s">
        <v>1507</v>
      </c>
      <c r="Q209" s="390" t="s">
        <v>1644</v>
      </c>
      <c r="R209" s="390">
        <v>3460</v>
      </c>
    </row>
    <row r="210" spans="1:18" ht="18.75" customHeight="1" x14ac:dyDescent="0.2">
      <c r="A210" s="388" t="s">
        <v>1102</v>
      </c>
      <c r="B210" s="388" t="s">
        <v>220</v>
      </c>
      <c r="C210" s="389">
        <v>2011</v>
      </c>
      <c r="D210" s="390" t="s">
        <v>451</v>
      </c>
      <c r="E210" s="391" t="s">
        <v>248</v>
      </c>
      <c r="F210" s="392"/>
      <c r="G210" s="392">
        <v>8126007012</v>
      </c>
      <c r="H210" s="392" t="s">
        <v>888</v>
      </c>
      <c r="I210" s="393" t="s">
        <v>765</v>
      </c>
      <c r="J210" s="392"/>
      <c r="K210" s="341" t="s">
        <v>740</v>
      </c>
      <c r="L210" s="341"/>
      <c r="M210" s="341"/>
      <c r="N210" s="341"/>
      <c r="O210" s="341"/>
      <c r="P210" s="341"/>
      <c r="Q210" s="390" t="s">
        <v>220</v>
      </c>
      <c r="R210" s="390">
        <v>2011</v>
      </c>
    </row>
    <row r="211" spans="1:18" ht="18.75" customHeight="1" x14ac:dyDescent="0.2">
      <c r="A211" s="388" t="s">
        <v>1103</v>
      </c>
      <c r="B211" s="388" t="s">
        <v>357</v>
      </c>
      <c r="C211" s="389">
        <v>3076</v>
      </c>
      <c r="D211" s="390" t="s">
        <v>443</v>
      </c>
      <c r="E211" s="391" t="s">
        <v>394</v>
      </c>
      <c r="F211" s="392"/>
      <c r="G211" s="392">
        <v>8126006674</v>
      </c>
      <c r="H211" s="392" t="s">
        <v>889</v>
      </c>
      <c r="I211" s="393" t="s">
        <v>1220</v>
      </c>
      <c r="J211" s="392"/>
      <c r="K211" s="341" t="s">
        <v>310</v>
      </c>
      <c r="L211" s="341"/>
      <c r="M211" s="341"/>
      <c r="N211" s="341"/>
      <c r="O211" s="341"/>
      <c r="P211" s="341" t="s">
        <v>1507</v>
      </c>
      <c r="Q211" s="390" t="s">
        <v>357</v>
      </c>
      <c r="R211" s="390">
        <v>3076</v>
      </c>
    </row>
    <row r="212" spans="1:18" ht="18.75" customHeight="1" x14ac:dyDescent="0.2">
      <c r="A212" s="388" t="s">
        <v>1104</v>
      </c>
      <c r="B212" s="388" t="s">
        <v>221</v>
      </c>
      <c r="C212" s="389">
        <v>3072</v>
      </c>
      <c r="D212" s="390" t="s">
        <v>443</v>
      </c>
      <c r="E212" s="391" t="s">
        <v>388</v>
      </c>
      <c r="F212" s="392"/>
      <c r="G212" s="392">
        <v>8126006604</v>
      </c>
      <c r="H212" s="392" t="s">
        <v>890</v>
      </c>
      <c r="I212" s="393" t="s">
        <v>766</v>
      </c>
      <c r="J212" s="392"/>
      <c r="K212" s="341" t="s">
        <v>310</v>
      </c>
      <c r="L212" s="341" t="s">
        <v>1799</v>
      </c>
      <c r="M212" s="341" t="s">
        <v>1800</v>
      </c>
      <c r="N212" s="341" t="s">
        <v>1801</v>
      </c>
      <c r="O212" s="341">
        <v>1005977754</v>
      </c>
      <c r="P212" s="341" t="s">
        <v>1507</v>
      </c>
      <c r="Q212" s="390" t="s">
        <v>221</v>
      </c>
      <c r="R212" s="390">
        <v>3072</v>
      </c>
    </row>
    <row r="213" spans="1:18" ht="18.75" customHeight="1" x14ac:dyDescent="0.2">
      <c r="A213" s="388" t="s">
        <v>1105</v>
      </c>
      <c r="B213" s="388" t="s">
        <v>222</v>
      </c>
      <c r="C213" s="389">
        <v>3076</v>
      </c>
      <c r="D213" s="390" t="s">
        <v>443</v>
      </c>
      <c r="E213" s="391" t="s">
        <v>387</v>
      </c>
      <c r="F213" s="392"/>
      <c r="G213" s="392">
        <v>8126006415</v>
      </c>
      <c r="H213" s="392" t="s">
        <v>891</v>
      </c>
      <c r="I213" s="393" t="s">
        <v>1220</v>
      </c>
      <c r="J213" s="392"/>
      <c r="K213" s="341" t="s">
        <v>310</v>
      </c>
      <c r="L213" s="341" t="s">
        <v>1578</v>
      </c>
      <c r="M213" s="341" t="s">
        <v>1579</v>
      </c>
      <c r="N213" s="341" t="s">
        <v>1580</v>
      </c>
      <c r="O213" s="341">
        <v>1005648746</v>
      </c>
      <c r="P213" s="341" t="s">
        <v>1507</v>
      </c>
      <c r="Q213" s="390" t="s">
        <v>222</v>
      </c>
      <c r="R213" s="390">
        <v>3076</v>
      </c>
    </row>
    <row r="214" spans="1:18" ht="18.75" customHeight="1" x14ac:dyDescent="0.2">
      <c r="A214" s="388" t="s">
        <v>1406</v>
      </c>
      <c r="B214" s="388" t="s">
        <v>1189</v>
      </c>
      <c r="C214" s="389">
        <v>3010</v>
      </c>
      <c r="D214" s="390" t="s">
        <v>444</v>
      </c>
      <c r="E214" s="391" t="s">
        <v>368</v>
      </c>
      <c r="F214" s="392"/>
      <c r="G214" s="392">
        <v>8126007185</v>
      </c>
      <c r="H214" s="392" t="s">
        <v>1215</v>
      </c>
      <c r="I214" s="393" t="s">
        <v>1276</v>
      </c>
      <c r="J214" s="392"/>
      <c r="K214" s="341"/>
      <c r="L214" s="341" t="s">
        <v>1802</v>
      </c>
      <c r="M214" s="341" t="s">
        <v>1803</v>
      </c>
      <c r="N214" s="341" t="s">
        <v>1804</v>
      </c>
      <c r="O214" s="341">
        <v>1005977687</v>
      </c>
      <c r="P214" s="341" t="s">
        <v>1507</v>
      </c>
      <c r="Q214" s="390" t="s">
        <v>1189</v>
      </c>
      <c r="R214" s="390">
        <v>3010</v>
      </c>
    </row>
    <row r="215" spans="1:18" ht="18.75" customHeight="1" x14ac:dyDescent="0.2">
      <c r="A215" s="388" t="s">
        <v>1106</v>
      </c>
      <c r="B215" s="388" t="s">
        <v>223</v>
      </c>
      <c r="C215" s="389">
        <v>3076</v>
      </c>
      <c r="D215" s="390" t="s">
        <v>443</v>
      </c>
      <c r="E215" s="391" t="s">
        <v>387</v>
      </c>
      <c r="F215" s="392"/>
      <c r="G215" s="392">
        <v>8126006452</v>
      </c>
      <c r="H215" s="392" t="s">
        <v>892</v>
      </c>
      <c r="I215" s="393" t="s">
        <v>1220</v>
      </c>
      <c r="J215" s="392"/>
      <c r="K215" s="341" t="s">
        <v>310</v>
      </c>
      <c r="L215" s="341" t="s">
        <v>1805</v>
      </c>
      <c r="M215" s="341" t="s">
        <v>1806</v>
      </c>
      <c r="N215" s="341" t="s">
        <v>1807</v>
      </c>
      <c r="O215" s="341">
        <v>1005611159</v>
      </c>
      <c r="P215" s="341" t="s">
        <v>1507</v>
      </c>
      <c r="Q215" s="390" t="s">
        <v>223</v>
      </c>
      <c r="R215" s="390">
        <v>3076</v>
      </c>
    </row>
    <row r="216" spans="1:18" ht="18.75" customHeight="1" x14ac:dyDescent="0.2">
      <c r="A216" s="354" t="s">
        <v>1107</v>
      </c>
      <c r="B216" s="354" t="s">
        <v>224</v>
      </c>
      <c r="C216" s="354">
        <v>3000</v>
      </c>
      <c r="D216" s="394" t="s">
        <v>445</v>
      </c>
      <c r="E216" s="377" t="s">
        <v>245</v>
      </c>
      <c r="F216" s="355"/>
      <c r="G216" s="355" t="s">
        <v>310</v>
      </c>
      <c r="H216" s="359" t="s">
        <v>893</v>
      </c>
      <c r="I216" s="359" t="s">
        <v>1276</v>
      </c>
      <c r="J216" s="356"/>
      <c r="K216" s="357" t="s">
        <v>741</v>
      </c>
      <c r="L216" s="357"/>
      <c r="M216" s="357"/>
      <c r="N216" s="358"/>
      <c r="O216" s="359"/>
      <c r="P216" s="383" t="s">
        <v>1507</v>
      </c>
      <c r="Q216" s="354" t="s">
        <v>224</v>
      </c>
      <c r="R216" s="354">
        <v>3000</v>
      </c>
    </row>
    <row r="217" spans="1:18" ht="18.75" customHeight="1" x14ac:dyDescent="0.2">
      <c r="A217" s="388" t="s">
        <v>1108</v>
      </c>
      <c r="B217" s="388" t="s">
        <v>358</v>
      </c>
      <c r="C217" s="389">
        <v>3077</v>
      </c>
      <c r="D217" s="390" t="s">
        <v>443</v>
      </c>
      <c r="E217" s="391" t="s">
        <v>285</v>
      </c>
      <c r="F217" s="392"/>
      <c r="G217" s="392">
        <v>8126006591</v>
      </c>
      <c r="H217" s="392" t="s">
        <v>894</v>
      </c>
      <c r="I217" s="393" t="s">
        <v>612</v>
      </c>
      <c r="J217" s="392"/>
      <c r="K217" s="341" t="s">
        <v>310</v>
      </c>
      <c r="L217" s="341" t="s">
        <v>1808</v>
      </c>
      <c r="M217" s="341" t="s">
        <v>1809</v>
      </c>
      <c r="N217" s="341" t="s">
        <v>1810</v>
      </c>
      <c r="O217" s="341">
        <v>250911</v>
      </c>
      <c r="P217" s="341" t="s">
        <v>1507</v>
      </c>
      <c r="Q217" s="390" t="s">
        <v>358</v>
      </c>
      <c r="R217" s="390">
        <v>3077</v>
      </c>
    </row>
    <row r="218" spans="1:18" ht="18.75" customHeight="1" x14ac:dyDescent="0.2">
      <c r="A218" s="388" t="s">
        <v>1109</v>
      </c>
      <c r="B218" s="388" t="s">
        <v>650</v>
      </c>
      <c r="C218" s="389">
        <v>4000</v>
      </c>
      <c r="D218" s="390" t="s">
        <v>1327</v>
      </c>
      <c r="E218" s="391" t="s">
        <v>250</v>
      </c>
      <c r="F218" s="392"/>
      <c r="G218" s="392">
        <v>8126007110</v>
      </c>
      <c r="H218" s="392" t="s">
        <v>895</v>
      </c>
      <c r="I218" s="393" t="s">
        <v>610</v>
      </c>
      <c r="J218" s="392"/>
      <c r="K218" s="341"/>
      <c r="L218" s="341"/>
      <c r="M218" s="341"/>
      <c r="N218" s="341"/>
      <c r="O218" s="341"/>
      <c r="P218" s="341"/>
      <c r="Q218" s="390" t="s">
        <v>650</v>
      </c>
      <c r="R218" s="390">
        <v>4000</v>
      </c>
    </row>
    <row r="219" spans="1:18" ht="18.75" customHeight="1" x14ac:dyDescent="0.2">
      <c r="A219" s="354" t="s">
        <v>1110</v>
      </c>
      <c r="B219" s="354" t="s">
        <v>225</v>
      </c>
      <c r="C219" s="354">
        <v>4000</v>
      </c>
      <c r="D219" s="394" t="s">
        <v>1339</v>
      </c>
      <c r="E219" s="377" t="s">
        <v>677</v>
      </c>
      <c r="F219" s="355"/>
      <c r="G219" s="355">
        <v>8126007192</v>
      </c>
      <c r="H219" s="359" t="s">
        <v>896</v>
      </c>
      <c r="I219" s="359" t="s">
        <v>610</v>
      </c>
      <c r="J219" s="356"/>
      <c r="K219" s="357" t="s">
        <v>742</v>
      </c>
      <c r="L219" s="357"/>
      <c r="M219" s="357"/>
      <c r="N219" s="358"/>
      <c r="O219" s="359"/>
      <c r="P219" s="383" t="s">
        <v>1507</v>
      </c>
      <c r="Q219" s="354" t="s">
        <v>225</v>
      </c>
      <c r="R219" s="354">
        <v>4000</v>
      </c>
    </row>
    <row r="220" spans="1:18" ht="18.75" customHeight="1" x14ac:dyDescent="0.2">
      <c r="A220" s="388" t="s">
        <v>1581</v>
      </c>
      <c r="B220" s="388" t="s">
        <v>1582</v>
      </c>
      <c r="C220" s="389">
        <v>3000</v>
      </c>
      <c r="D220" s="390" t="s">
        <v>445</v>
      </c>
      <c r="E220" s="391" t="s">
        <v>957</v>
      </c>
      <c r="F220" s="392"/>
      <c r="G220" s="392">
        <v>0</v>
      </c>
      <c r="H220" s="392" t="s">
        <v>1583</v>
      </c>
      <c r="I220" s="393" t="s">
        <v>1276</v>
      </c>
      <c r="J220" s="392"/>
      <c r="K220" s="341"/>
      <c r="L220" s="341"/>
      <c r="M220" s="341"/>
      <c r="N220" s="341"/>
      <c r="O220" s="341"/>
      <c r="P220" s="341" t="s">
        <v>1507</v>
      </c>
      <c r="Q220" s="390" t="s">
        <v>1582</v>
      </c>
      <c r="R220" s="390">
        <v>3000</v>
      </c>
    </row>
    <row r="221" spans="1:18" ht="18.75" customHeight="1" x14ac:dyDescent="0.2">
      <c r="A221" s="388" t="s">
        <v>1407</v>
      </c>
      <c r="B221" s="388" t="s">
        <v>1408</v>
      </c>
      <c r="C221" s="389">
        <v>2020</v>
      </c>
      <c r="D221" s="390" t="s">
        <v>446</v>
      </c>
      <c r="E221" s="391" t="s">
        <v>1409</v>
      </c>
      <c r="F221" s="392"/>
      <c r="G221" s="392">
        <v>0</v>
      </c>
      <c r="H221" s="392" t="s">
        <v>1584</v>
      </c>
      <c r="I221" s="393" t="s">
        <v>765</v>
      </c>
      <c r="J221" s="392"/>
      <c r="K221" s="341"/>
      <c r="L221" s="341"/>
      <c r="M221" s="341"/>
      <c r="N221" s="341"/>
      <c r="O221" s="341"/>
      <c r="P221" s="341"/>
      <c r="Q221" s="390" t="s">
        <v>1408</v>
      </c>
      <c r="R221" s="390">
        <v>2020</v>
      </c>
    </row>
    <row r="222" spans="1:18" ht="18.75" customHeight="1" x14ac:dyDescent="0.2">
      <c r="A222" s="388" t="s">
        <v>1111</v>
      </c>
      <c r="B222" s="388" t="s">
        <v>436</v>
      </c>
      <c r="C222" s="389">
        <v>3077</v>
      </c>
      <c r="D222" s="390" t="s">
        <v>443</v>
      </c>
      <c r="E222" s="391" t="s">
        <v>379</v>
      </c>
      <c r="F222" s="392"/>
      <c r="G222" s="392">
        <v>8126007071</v>
      </c>
      <c r="H222" s="392" t="s">
        <v>897</v>
      </c>
      <c r="I222" s="393" t="s">
        <v>612</v>
      </c>
      <c r="J222" s="392"/>
      <c r="K222" s="341" t="s">
        <v>310</v>
      </c>
      <c r="L222" s="341" t="s">
        <v>1811</v>
      </c>
      <c r="M222" s="341" t="s">
        <v>1812</v>
      </c>
      <c r="N222" s="341" t="s">
        <v>1813</v>
      </c>
      <c r="O222" s="341">
        <v>250906</v>
      </c>
      <c r="P222" s="341" t="s">
        <v>1507</v>
      </c>
      <c r="Q222" s="390" t="s">
        <v>436</v>
      </c>
      <c r="R222" s="390">
        <v>3077</v>
      </c>
    </row>
    <row r="223" spans="1:18" ht="18.75" customHeight="1" x14ac:dyDescent="0.2">
      <c r="A223" s="388" t="s">
        <v>1112</v>
      </c>
      <c r="B223" s="388" t="s">
        <v>632</v>
      </c>
      <c r="C223" s="389">
        <v>4000</v>
      </c>
      <c r="D223" s="390" t="s">
        <v>1339</v>
      </c>
      <c r="E223" s="391" t="s">
        <v>678</v>
      </c>
      <c r="F223" s="392" t="s">
        <v>1190</v>
      </c>
      <c r="G223" s="392">
        <v>8126007095</v>
      </c>
      <c r="H223" s="392" t="s">
        <v>898</v>
      </c>
      <c r="I223" s="393" t="s">
        <v>610</v>
      </c>
      <c r="J223" s="392"/>
      <c r="K223" s="341" t="s">
        <v>743</v>
      </c>
      <c r="L223" s="341"/>
      <c r="M223" s="341"/>
      <c r="N223" s="341"/>
      <c r="O223" s="341"/>
      <c r="P223" s="341"/>
      <c r="Q223" s="390" t="s">
        <v>632</v>
      </c>
      <c r="R223" s="390">
        <v>4000</v>
      </c>
    </row>
    <row r="224" spans="1:18" ht="18.75" customHeight="1" x14ac:dyDescent="0.2">
      <c r="A224" s="388" t="s">
        <v>1410</v>
      </c>
      <c r="B224" s="388" t="s">
        <v>226</v>
      </c>
      <c r="C224" s="389">
        <v>3070</v>
      </c>
      <c r="D224" s="390" t="s">
        <v>443</v>
      </c>
      <c r="E224" s="391" t="s">
        <v>1347</v>
      </c>
      <c r="F224" s="392"/>
      <c r="G224" s="392">
        <v>8126006333</v>
      </c>
      <c r="H224" s="392" t="s">
        <v>899</v>
      </c>
      <c r="I224" s="393" t="s">
        <v>615</v>
      </c>
      <c r="J224" s="392"/>
      <c r="K224" s="341" t="s">
        <v>310</v>
      </c>
      <c r="L224" s="341" t="s">
        <v>1263</v>
      </c>
      <c r="M224" s="341" t="s">
        <v>498</v>
      </c>
      <c r="N224" s="341" t="s">
        <v>538</v>
      </c>
      <c r="O224" s="341">
        <v>1005977772</v>
      </c>
      <c r="P224" s="341" t="s">
        <v>1507</v>
      </c>
      <c r="Q224" s="390" t="s">
        <v>226</v>
      </c>
      <c r="R224" s="390">
        <v>3070</v>
      </c>
    </row>
    <row r="225" spans="1:18" ht="18.75" customHeight="1" x14ac:dyDescent="0.2">
      <c r="A225" s="388" t="s">
        <v>1113</v>
      </c>
      <c r="B225" s="388" t="s">
        <v>426</v>
      </c>
      <c r="C225" s="389">
        <v>3072</v>
      </c>
      <c r="D225" s="390" t="s">
        <v>443</v>
      </c>
      <c r="E225" s="391" t="s">
        <v>473</v>
      </c>
      <c r="F225" s="392"/>
      <c r="G225" s="392">
        <v>8126007056</v>
      </c>
      <c r="H225" s="392" t="s">
        <v>900</v>
      </c>
      <c r="I225" s="393" t="s">
        <v>766</v>
      </c>
      <c r="J225" s="392"/>
      <c r="K225" s="341" t="s">
        <v>310</v>
      </c>
      <c r="L225" s="341" t="s">
        <v>1649</v>
      </c>
      <c r="M225" s="341" t="s">
        <v>1650</v>
      </c>
      <c r="N225" s="341" t="s">
        <v>1651</v>
      </c>
      <c r="O225" s="341"/>
      <c r="P225" s="341" t="s">
        <v>1507</v>
      </c>
      <c r="Q225" s="390" t="s">
        <v>426</v>
      </c>
      <c r="R225" s="390">
        <v>3072</v>
      </c>
    </row>
    <row r="226" spans="1:18" ht="18.75" customHeight="1" x14ac:dyDescent="0.2">
      <c r="A226" s="388" t="s">
        <v>1114</v>
      </c>
      <c r="B226" s="388" t="s">
        <v>227</v>
      </c>
      <c r="C226" s="389">
        <v>3070</v>
      </c>
      <c r="D226" s="390" t="s">
        <v>443</v>
      </c>
      <c r="E226" s="391" t="s">
        <v>395</v>
      </c>
      <c r="F226" s="392"/>
      <c r="G226" s="392">
        <v>8126006658</v>
      </c>
      <c r="H226" s="392" t="s">
        <v>901</v>
      </c>
      <c r="I226" s="393" t="s">
        <v>615</v>
      </c>
      <c r="J226" s="392"/>
      <c r="K226" s="341" t="s">
        <v>310</v>
      </c>
      <c r="L226" s="341" t="s">
        <v>1814</v>
      </c>
      <c r="M226" s="341" t="s">
        <v>1815</v>
      </c>
      <c r="N226" s="341" t="s">
        <v>1816</v>
      </c>
      <c r="O226" s="341">
        <v>1005611168</v>
      </c>
      <c r="P226" s="341" t="s">
        <v>1507</v>
      </c>
      <c r="Q226" s="390" t="s">
        <v>227</v>
      </c>
      <c r="R226" s="390">
        <v>3070</v>
      </c>
    </row>
    <row r="227" spans="1:18" ht="18.75" customHeight="1" x14ac:dyDescent="0.2">
      <c r="A227" s="388" t="s">
        <v>1538</v>
      </c>
      <c r="B227" s="388" t="s">
        <v>1458</v>
      </c>
      <c r="C227" s="389">
        <v>3410</v>
      </c>
      <c r="D227" s="390" t="s">
        <v>1506</v>
      </c>
      <c r="E227" s="391" t="s">
        <v>1539</v>
      </c>
      <c r="F227" s="392"/>
      <c r="G227" s="392">
        <v>8126007187</v>
      </c>
      <c r="H227" s="392" t="s">
        <v>1459</v>
      </c>
      <c r="I227" s="393" t="s">
        <v>1326</v>
      </c>
      <c r="J227" s="392"/>
      <c r="K227" s="341"/>
      <c r="L227" s="341" t="s">
        <v>1652</v>
      </c>
      <c r="M227" s="341" t="s">
        <v>1653</v>
      </c>
      <c r="N227" s="341" t="s">
        <v>1654</v>
      </c>
      <c r="O227" s="341">
        <v>1005977686</v>
      </c>
      <c r="P227" s="341" t="s">
        <v>1507</v>
      </c>
      <c r="Q227" s="390" t="s">
        <v>1458</v>
      </c>
      <c r="R227" s="390">
        <v>3410</v>
      </c>
    </row>
    <row r="228" spans="1:18" ht="18.75" customHeight="1" x14ac:dyDescent="0.2">
      <c r="A228" s="388" t="s">
        <v>1660</v>
      </c>
      <c r="B228" s="388" t="s">
        <v>1661</v>
      </c>
      <c r="C228" s="389">
        <v>3000</v>
      </c>
      <c r="D228" s="390" t="s">
        <v>445</v>
      </c>
      <c r="E228" s="391" t="s">
        <v>1662</v>
      </c>
      <c r="F228" s="392"/>
      <c r="G228" s="392"/>
      <c r="H228" s="392" t="s">
        <v>1864</v>
      </c>
      <c r="I228" s="393" t="s">
        <v>1276</v>
      </c>
      <c r="J228" s="392"/>
      <c r="K228" s="341"/>
      <c r="L228" s="341"/>
      <c r="M228" s="341"/>
      <c r="N228" s="341"/>
      <c r="O228" s="341"/>
      <c r="P228" s="341" t="s">
        <v>1507</v>
      </c>
      <c r="Q228" s="390" t="s">
        <v>1661</v>
      </c>
      <c r="R228" s="390">
        <v>3000</v>
      </c>
    </row>
    <row r="229" spans="1:18" ht="18.75" customHeight="1" x14ac:dyDescent="0.2">
      <c r="A229" s="388" t="s">
        <v>1655</v>
      </c>
      <c r="B229" s="388" t="s">
        <v>1656</v>
      </c>
      <c r="C229" s="389">
        <v>3076</v>
      </c>
      <c r="D229" s="390" t="s">
        <v>443</v>
      </c>
      <c r="E229" s="391" t="s">
        <v>1657</v>
      </c>
      <c r="F229" s="392"/>
      <c r="G229" s="392">
        <v>8126007196</v>
      </c>
      <c r="H229" s="392" t="s">
        <v>1658</v>
      </c>
      <c r="I229" s="393" t="s">
        <v>1220</v>
      </c>
      <c r="J229" s="392"/>
      <c r="K229" s="341"/>
      <c r="L229" s="341" t="s">
        <v>1212</v>
      </c>
      <c r="M229" s="341" t="s">
        <v>1211</v>
      </c>
      <c r="N229" s="341" t="s">
        <v>1210</v>
      </c>
      <c r="O229" s="341"/>
      <c r="P229" s="341" t="s">
        <v>1507</v>
      </c>
      <c r="Q229" s="390" t="s">
        <v>1656</v>
      </c>
      <c r="R229" s="390">
        <v>3076</v>
      </c>
    </row>
    <row r="230" spans="1:18" ht="18.75" customHeight="1" x14ac:dyDescent="0.2">
      <c r="A230" s="388" t="s">
        <v>1115</v>
      </c>
      <c r="B230" s="388" t="s">
        <v>359</v>
      </c>
      <c r="C230" s="389">
        <v>3070</v>
      </c>
      <c r="D230" s="390" t="s">
        <v>443</v>
      </c>
      <c r="E230" s="391" t="s">
        <v>663</v>
      </c>
      <c r="F230" s="392" t="s">
        <v>539</v>
      </c>
      <c r="G230" s="392">
        <v>8126006190</v>
      </c>
      <c r="H230" s="392" t="s">
        <v>615</v>
      </c>
      <c r="I230" s="393" t="s">
        <v>642</v>
      </c>
      <c r="J230" s="392"/>
      <c r="K230" s="341" t="s">
        <v>744</v>
      </c>
      <c r="L230" s="341" t="s">
        <v>1264</v>
      </c>
      <c r="M230" s="341" t="s">
        <v>652</v>
      </c>
      <c r="N230" s="341" t="s">
        <v>651</v>
      </c>
      <c r="O230" s="341">
        <v>1005611165</v>
      </c>
      <c r="P230" s="341" t="s">
        <v>1507</v>
      </c>
      <c r="Q230" s="390" t="s">
        <v>359</v>
      </c>
      <c r="R230" s="390">
        <v>3070</v>
      </c>
    </row>
    <row r="231" spans="1:18" ht="18.75" customHeight="1" x14ac:dyDescent="0.2">
      <c r="A231" s="388" t="s">
        <v>1305</v>
      </c>
      <c r="B231" s="388" t="s">
        <v>1306</v>
      </c>
      <c r="C231" s="389">
        <v>3070</v>
      </c>
      <c r="D231" s="390" t="s">
        <v>443</v>
      </c>
      <c r="E231" s="391" t="s">
        <v>1412</v>
      </c>
      <c r="F231" s="392"/>
      <c r="G231" s="392">
        <v>8126007163</v>
      </c>
      <c r="H231" s="392" t="s">
        <v>1320</v>
      </c>
      <c r="I231" s="393" t="s">
        <v>615</v>
      </c>
      <c r="J231" s="392"/>
      <c r="K231" s="341"/>
      <c r="L231" s="341" t="s">
        <v>1270</v>
      </c>
      <c r="M231" s="341" t="s">
        <v>630</v>
      </c>
      <c r="N231" s="341" t="s">
        <v>629</v>
      </c>
      <c r="O231" s="341">
        <v>1005977708</v>
      </c>
      <c r="P231" s="341" t="s">
        <v>1507</v>
      </c>
      <c r="Q231" s="390" t="s">
        <v>1306</v>
      </c>
      <c r="R231" s="390">
        <v>3070</v>
      </c>
    </row>
    <row r="232" spans="1:18" ht="18.75" customHeight="1" x14ac:dyDescent="0.2">
      <c r="A232" s="388" t="s">
        <v>1116</v>
      </c>
      <c r="B232" s="388" t="s">
        <v>1540</v>
      </c>
      <c r="C232" s="389">
        <v>3077</v>
      </c>
      <c r="D232" s="390" t="s">
        <v>443</v>
      </c>
      <c r="E232" s="391" t="s">
        <v>396</v>
      </c>
      <c r="F232" s="392"/>
      <c r="G232" s="392">
        <v>8126006625</v>
      </c>
      <c r="H232" s="392" t="s">
        <v>902</v>
      </c>
      <c r="I232" s="393" t="s">
        <v>612</v>
      </c>
      <c r="J232" s="392"/>
      <c r="K232" s="341" t="s">
        <v>310</v>
      </c>
      <c r="L232" s="341" t="s">
        <v>1817</v>
      </c>
      <c r="M232" s="341" t="s">
        <v>1818</v>
      </c>
      <c r="N232" s="341" t="s">
        <v>1819</v>
      </c>
      <c r="O232" s="341">
        <v>250912</v>
      </c>
      <c r="P232" s="341" t="s">
        <v>1507</v>
      </c>
      <c r="Q232" s="390" t="s">
        <v>1540</v>
      </c>
      <c r="R232" s="390">
        <v>3077</v>
      </c>
    </row>
    <row r="233" spans="1:18" ht="18.75" customHeight="1" x14ac:dyDescent="0.2">
      <c r="A233" s="388" t="s">
        <v>1117</v>
      </c>
      <c r="B233" s="388" t="s">
        <v>228</v>
      </c>
      <c r="C233" s="389">
        <v>3030</v>
      </c>
      <c r="D233" s="390" t="s">
        <v>467</v>
      </c>
      <c r="E233" s="391" t="s">
        <v>286</v>
      </c>
      <c r="F233" s="392"/>
      <c r="G233" s="392">
        <v>8126006606</v>
      </c>
      <c r="H233" s="392" t="s">
        <v>903</v>
      </c>
      <c r="I233" s="393" t="s">
        <v>877</v>
      </c>
      <c r="J233" s="392"/>
      <c r="K233" s="341" t="s">
        <v>310</v>
      </c>
      <c r="L233" s="341"/>
      <c r="M233" s="341"/>
      <c r="N233" s="341"/>
      <c r="O233" s="341"/>
      <c r="P233" s="341" t="s">
        <v>1507</v>
      </c>
      <c r="Q233" s="390" t="s">
        <v>228</v>
      </c>
      <c r="R233" s="390">
        <v>3030</v>
      </c>
    </row>
    <row r="234" spans="1:18" ht="18.75" customHeight="1" x14ac:dyDescent="0.2">
      <c r="A234" s="388" t="s">
        <v>1118</v>
      </c>
      <c r="B234" s="388" t="s">
        <v>229</v>
      </c>
      <c r="C234" s="389">
        <v>3000</v>
      </c>
      <c r="D234" s="390" t="s">
        <v>445</v>
      </c>
      <c r="E234" s="391" t="s">
        <v>1413</v>
      </c>
      <c r="F234" s="392"/>
      <c r="G234" s="392">
        <v>8126006654</v>
      </c>
      <c r="H234" s="392" t="s">
        <v>904</v>
      </c>
      <c r="I234" s="393" t="s">
        <v>1276</v>
      </c>
      <c r="J234" s="392"/>
      <c r="K234" s="341" t="s">
        <v>745</v>
      </c>
      <c r="L234" s="341"/>
      <c r="M234" s="341"/>
      <c r="N234" s="341"/>
      <c r="O234" s="341"/>
      <c r="P234" s="341" t="s">
        <v>1507</v>
      </c>
      <c r="Q234" s="390" t="s">
        <v>229</v>
      </c>
      <c r="R234" s="390">
        <v>3000</v>
      </c>
    </row>
    <row r="235" spans="1:18" ht="18.75" customHeight="1" x14ac:dyDescent="0.2">
      <c r="A235" s="388" t="s">
        <v>1414</v>
      </c>
      <c r="B235" s="388" t="s">
        <v>230</v>
      </c>
      <c r="C235" s="389">
        <v>3078</v>
      </c>
      <c r="D235" s="390" t="s">
        <v>443</v>
      </c>
      <c r="E235" s="391" t="s">
        <v>241</v>
      </c>
      <c r="F235" s="392"/>
      <c r="G235" s="392">
        <v>8126006397</v>
      </c>
      <c r="H235" s="392" t="s">
        <v>905</v>
      </c>
      <c r="I235" s="393" t="s">
        <v>611</v>
      </c>
      <c r="J235" s="392"/>
      <c r="K235" s="341" t="s">
        <v>310</v>
      </c>
      <c r="L235" s="341" t="s">
        <v>1309</v>
      </c>
      <c r="M235" s="341" t="s">
        <v>1308</v>
      </c>
      <c r="N235" s="341" t="s">
        <v>1307</v>
      </c>
      <c r="O235" s="341">
        <v>1005611152</v>
      </c>
      <c r="P235" s="341" t="s">
        <v>1507</v>
      </c>
      <c r="Q235" s="390" t="s">
        <v>230</v>
      </c>
      <c r="R235" s="390">
        <v>3078</v>
      </c>
    </row>
    <row r="236" spans="1:18" ht="18.75" customHeight="1" x14ac:dyDescent="0.2">
      <c r="A236" s="388" t="s">
        <v>1865</v>
      </c>
      <c r="B236" s="388" t="s">
        <v>1866</v>
      </c>
      <c r="C236" s="389">
        <v>3073</v>
      </c>
      <c r="D236" s="390" t="s">
        <v>443</v>
      </c>
      <c r="E236" s="391" t="s">
        <v>443</v>
      </c>
      <c r="F236" s="392"/>
      <c r="G236" s="392"/>
      <c r="H236" s="392" t="s">
        <v>1857</v>
      </c>
      <c r="I236" s="393" t="s">
        <v>935</v>
      </c>
      <c r="J236" s="392"/>
      <c r="K236" s="341"/>
      <c r="L236" s="341" t="s">
        <v>1867</v>
      </c>
      <c r="M236" s="341" t="s">
        <v>1868</v>
      </c>
      <c r="N236" s="341" t="s">
        <v>1869</v>
      </c>
      <c r="O236" s="341">
        <v>1005977697</v>
      </c>
      <c r="P236" s="341" t="s">
        <v>1507</v>
      </c>
      <c r="Q236" s="390" t="s">
        <v>1866</v>
      </c>
      <c r="R236" s="390">
        <v>3073</v>
      </c>
    </row>
    <row r="237" spans="1:18" ht="18.75" customHeight="1" x14ac:dyDescent="0.2">
      <c r="A237" s="388" t="s">
        <v>1119</v>
      </c>
      <c r="B237" s="388" t="s">
        <v>365</v>
      </c>
      <c r="C237" s="389">
        <v>3070</v>
      </c>
      <c r="D237" s="390" t="s">
        <v>443</v>
      </c>
      <c r="E237" s="391" t="s">
        <v>265</v>
      </c>
      <c r="F237" s="392"/>
      <c r="G237" s="392">
        <v>8126007034</v>
      </c>
      <c r="H237" s="392" t="s">
        <v>906</v>
      </c>
      <c r="I237" s="393" t="s">
        <v>615</v>
      </c>
      <c r="J237" s="392"/>
      <c r="K237" s="341" t="s">
        <v>310</v>
      </c>
      <c r="L237" s="341" t="s">
        <v>1265</v>
      </c>
      <c r="M237" s="341" t="s">
        <v>486</v>
      </c>
      <c r="N237" s="341" t="s">
        <v>540</v>
      </c>
      <c r="O237" s="341">
        <v>1005977682</v>
      </c>
      <c r="P237" s="341" t="s">
        <v>1507</v>
      </c>
      <c r="Q237" s="390" t="s">
        <v>365</v>
      </c>
      <c r="R237" s="390">
        <v>3070</v>
      </c>
    </row>
    <row r="238" spans="1:18" ht="18.75" customHeight="1" x14ac:dyDescent="0.2">
      <c r="A238" s="388" t="s">
        <v>1585</v>
      </c>
      <c r="B238" s="388" t="s">
        <v>1586</v>
      </c>
      <c r="C238" s="389">
        <v>3030</v>
      </c>
      <c r="D238" s="390" t="s">
        <v>449</v>
      </c>
      <c r="E238" s="391" t="s">
        <v>266</v>
      </c>
      <c r="F238" s="392"/>
      <c r="G238" s="392">
        <v>8126007206</v>
      </c>
      <c r="H238" s="392" t="s">
        <v>1587</v>
      </c>
      <c r="I238" s="393" t="s">
        <v>877</v>
      </c>
      <c r="J238" s="392"/>
      <c r="K238" s="341"/>
      <c r="L238" s="341"/>
      <c r="M238" s="341"/>
      <c r="N238" s="341"/>
      <c r="O238" s="341"/>
      <c r="P238" s="341"/>
      <c r="Q238" s="390" t="s">
        <v>1586</v>
      </c>
      <c r="R238" s="390">
        <v>3030</v>
      </c>
    </row>
    <row r="239" spans="1:18" ht="18.75" customHeight="1" x14ac:dyDescent="0.2">
      <c r="A239" s="388" t="s">
        <v>1120</v>
      </c>
      <c r="B239" s="388" t="s">
        <v>397</v>
      </c>
      <c r="C239" s="389">
        <v>3076</v>
      </c>
      <c r="D239" s="390" t="s">
        <v>443</v>
      </c>
      <c r="E239" s="391" t="s">
        <v>398</v>
      </c>
      <c r="F239" s="392"/>
      <c r="G239" s="392">
        <v>8126007022</v>
      </c>
      <c r="H239" s="392" t="s">
        <v>907</v>
      </c>
      <c r="I239" s="393" t="s">
        <v>1220</v>
      </c>
      <c r="J239" s="392"/>
      <c r="K239" s="341"/>
      <c r="L239" s="341" t="s">
        <v>1266</v>
      </c>
      <c r="M239" s="341" t="s">
        <v>487</v>
      </c>
      <c r="N239" s="341" t="s">
        <v>541</v>
      </c>
      <c r="O239" s="341">
        <v>1005977768</v>
      </c>
      <c r="P239" s="341" t="s">
        <v>1507</v>
      </c>
      <c r="Q239" s="390" t="s">
        <v>397</v>
      </c>
      <c r="R239" s="390">
        <v>3076</v>
      </c>
    </row>
    <row r="240" spans="1:18" ht="18.75" customHeight="1" x14ac:dyDescent="0.2">
      <c r="A240" s="388" t="s">
        <v>1121</v>
      </c>
      <c r="B240" s="388" t="s">
        <v>231</v>
      </c>
      <c r="C240" s="389">
        <v>6020</v>
      </c>
      <c r="D240" s="390" t="s">
        <v>459</v>
      </c>
      <c r="E240" s="391" t="s">
        <v>12</v>
      </c>
      <c r="F240" s="392"/>
      <c r="G240" s="392">
        <v>8126006649</v>
      </c>
      <c r="H240" s="392" t="s">
        <v>908</v>
      </c>
      <c r="I240" s="393" t="s">
        <v>609</v>
      </c>
      <c r="J240" s="392"/>
      <c r="K240" s="341" t="s">
        <v>746</v>
      </c>
      <c r="L240" s="341"/>
      <c r="M240" s="341"/>
      <c r="N240" s="341"/>
      <c r="O240" s="341"/>
      <c r="P240" s="341"/>
      <c r="Q240" s="390" t="s">
        <v>231</v>
      </c>
      <c r="R240" s="390">
        <v>6020</v>
      </c>
    </row>
    <row r="241" spans="1:18" ht="18.75" customHeight="1" x14ac:dyDescent="0.2">
      <c r="A241" s="388" t="s">
        <v>1122</v>
      </c>
      <c r="B241" s="388" t="s">
        <v>232</v>
      </c>
      <c r="C241" s="389">
        <v>2011</v>
      </c>
      <c r="D241" s="390" t="s">
        <v>451</v>
      </c>
      <c r="E241" s="391" t="s">
        <v>275</v>
      </c>
      <c r="F241" s="392"/>
      <c r="G241" s="392">
        <v>8126006632</v>
      </c>
      <c r="H241" s="392" t="s">
        <v>909</v>
      </c>
      <c r="I241" s="393" t="s">
        <v>765</v>
      </c>
      <c r="J241" s="392"/>
      <c r="K241" s="341" t="s">
        <v>747</v>
      </c>
      <c r="L241" s="341"/>
      <c r="M241" s="341"/>
      <c r="N241" s="341"/>
      <c r="O241" s="341"/>
      <c r="P241" s="341"/>
      <c r="Q241" s="390" t="s">
        <v>232</v>
      </c>
      <c r="R241" s="390">
        <v>2011</v>
      </c>
    </row>
    <row r="242" spans="1:18" ht="18.75" customHeight="1" x14ac:dyDescent="0.2">
      <c r="A242" s="388" t="s">
        <v>1415</v>
      </c>
      <c r="B242" s="388" t="s">
        <v>1416</v>
      </c>
      <c r="C242" s="389">
        <v>3030</v>
      </c>
      <c r="D242" s="390" t="s">
        <v>1356</v>
      </c>
      <c r="E242" s="391" t="s">
        <v>1417</v>
      </c>
      <c r="F242" s="392"/>
      <c r="G242" s="392">
        <v>0</v>
      </c>
      <c r="H242" s="392" t="s">
        <v>1418</v>
      </c>
      <c r="I242" s="393" t="s">
        <v>877</v>
      </c>
      <c r="J242" s="392"/>
      <c r="K242" s="341"/>
      <c r="L242" s="341"/>
      <c r="M242" s="341"/>
      <c r="N242" s="341"/>
      <c r="O242" s="341"/>
      <c r="P242" s="341"/>
      <c r="Q242" s="390" t="s">
        <v>1416</v>
      </c>
      <c r="R242" s="390">
        <v>3030</v>
      </c>
    </row>
    <row r="243" spans="1:18" ht="18.75" customHeight="1" x14ac:dyDescent="0.2">
      <c r="A243" s="343" t="s">
        <v>1123</v>
      </c>
      <c r="B243" s="343" t="s">
        <v>233</v>
      </c>
      <c r="C243" s="343">
        <v>6040</v>
      </c>
      <c r="D243" s="343" t="s">
        <v>157</v>
      </c>
      <c r="E243" s="343" t="s">
        <v>287</v>
      </c>
      <c r="F243" s="344" t="s">
        <v>543</v>
      </c>
      <c r="G243" s="344">
        <v>8126006482</v>
      </c>
      <c r="H243" s="344" t="s">
        <v>910</v>
      </c>
      <c r="I243" s="343" t="s">
        <v>1313</v>
      </c>
      <c r="J243" s="345">
        <v>16120010</v>
      </c>
      <c r="K243" s="346" t="s">
        <v>910</v>
      </c>
      <c r="L243" s="346" t="s">
        <v>1267</v>
      </c>
      <c r="M243" s="346" t="s">
        <v>500</v>
      </c>
      <c r="N243" s="347" t="s">
        <v>542</v>
      </c>
      <c r="O243" s="344">
        <v>1005977691</v>
      </c>
      <c r="P243" s="343" t="s">
        <v>1507</v>
      </c>
      <c r="Q243" s="343" t="s">
        <v>233</v>
      </c>
      <c r="R243" s="343">
        <v>6040</v>
      </c>
    </row>
    <row r="244" spans="1:18" ht="18.75" customHeight="1" x14ac:dyDescent="0.2">
      <c r="A244" s="388" t="s">
        <v>1124</v>
      </c>
      <c r="B244" s="388" t="s">
        <v>234</v>
      </c>
      <c r="C244" s="389">
        <v>3072</v>
      </c>
      <c r="D244" s="390" t="s">
        <v>443</v>
      </c>
      <c r="E244" s="391" t="s">
        <v>399</v>
      </c>
      <c r="F244" s="392"/>
      <c r="G244" s="392">
        <v>8126006406</v>
      </c>
      <c r="H244" s="392" t="s">
        <v>911</v>
      </c>
      <c r="I244" s="393" t="s">
        <v>766</v>
      </c>
      <c r="J244" s="392"/>
      <c r="K244" s="341" t="s">
        <v>310</v>
      </c>
      <c r="L244" s="341" t="s">
        <v>1268</v>
      </c>
      <c r="M244" s="341" t="s">
        <v>488</v>
      </c>
      <c r="N244" s="341" t="s">
        <v>544</v>
      </c>
      <c r="O244" s="341">
        <v>1005977765</v>
      </c>
      <c r="P244" s="341" t="s">
        <v>1507</v>
      </c>
      <c r="Q244" s="390" t="s">
        <v>234</v>
      </c>
      <c r="R244" s="390">
        <v>3072</v>
      </c>
    </row>
    <row r="245" spans="1:18" ht="18.75" customHeight="1" x14ac:dyDescent="0.2">
      <c r="A245" s="388" t="s">
        <v>1125</v>
      </c>
      <c r="B245" s="388" t="s">
        <v>235</v>
      </c>
      <c r="C245" s="389">
        <v>2560</v>
      </c>
      <c r="D245" s="390" t="s">
        <v>448</v>
      </c>
      <c r="E245" s="391" t="s">
        <v>679</v>
      </c>
      <c r="F245" s="392"/>
      <c r="G245" s="392">
        <v>8126006286</v>
      </c>
      <c r="H245" s="392" t="s">
        <v>912</v>
      </c>
      <c r="I245" s="393" t="s">
        <v>765</v>
      </c>
      <c r="J245" s="392"/>
      <c r="K245" s="341" t="s">
        <v>748</v>
      </c>
      <c r="L245" s="341"/>
      <c r="M245" s="341"/>
      <c r="N245" s="341"/>
      <c r="O245" s="341"/>
      <c r="P245" s="341"/>
      <c r="Q245" s="390" t="s">
        <v>235</v>
      </c>
      <c r="R245" s="390">
        <v>2560</v>
      </c>
    </row>
    <row r="246" spans="1:18" ht="18.75" customHeight="1" x14ac:dyDescent="0.2">
      <c r="A246" s="388" t="s">
        <v>1126</v>
      </c>
      <c r="B246" s="388" t="s">
        <v>236</v>
      </c>
      <c r="C246" s="389">
        <v>3072</v>
      </c>
      <c r="D246" s="390" t="s">
        <v>443</v>
      </c>
      <c r="E246" s="391" t="s">
        <v>289</v>
      </c>
      <c r="F246" s="392"/>
      <c r="G246" s="392">
        <v>8126006540</v>
      </c>
      <c r="H246" s="392" t="s">
        <v>913</v>
      </c>
      <c r="I246" s="393" t="s">
        <v>766</v>
      </c>
      <c r="J246" s="392"/>
      <c r="K246" s="341" t="s">
        <v>310</v>
      </c>
      <c r="L246" s="341" t="s">
        <v>1311</v>
      </c>
      <c r="M246" s="341" t="s">
        <v>954</v>
      </c>
      <c r="N246" s="341" t="s">
        <v>1310</v>
      </c>
      <c r="O246" s="341" t="s">
        <v>1954</v>
      </c>
      <c r="P246" s="341" t="s">
        <v>1507</v>
      </c>
      <c r="Q246" s="390" t="s">
        <v>236</v>
      </c>
      <c r="R246" s="390">
        <v>3072</v>
      </c>
    </row>
    <row r="247" spans="1:18" ht="18.75" customHeight="1" x14ac:dyDescent="0.2">
      <c r="A247" s="354" t="s">
        <v>1127</v>
      </c>
      <c r="B247" s="354" t="s">
        <v>411</v>
      </c>
      <c r="C247" s="354">
        <v>3010</v>
      </c>
      <c r="D247" s="394" t="s">
        <v>444</v>
      </c>
      <c r="E247" s="377" t="s">
        <v>368</v>
      </c>
      <c r="F247" s="355"/>
      <c r="G247" s="355">
        <v>8126006534</v>
      </c>
      <c r="H247" s="359" t="s">
        <v>914</v>
      </c>
      <c r="I247" s="359" t="s">
        <v>1276</v>
      </c>
      <c r="J247" s="356"/>
      <c r="K247" s="357" t="s">
        <v>310</v>
      </c>
      <c r="L247" s="357"/>
      <c r="M247" s="357"/>
      <c r="N247" s="358"/>
      <c r="O247" s="359"/>
      <c r="P247" s="383" t="s">
        <v>1507</v>
      </c>
      <c r="Q247" s="354" t="s">
        <v>411</v>
      </c>
      <c r="R247" s="354">
        <v>3010</v>
      </c>
    </row>
    <row r="248" spans="1:18" ht="18.75" customHeight="1" x14ac:dyDescent="0.2">
      <c r="A248" s="388" t="s">
        <v>1128</v>
      </c>
      <c r="B248" s="388" t="s">
        <v>237</v>
      </c>
      <c r="C248" s="389">
        <v>4000</v>
      </c>
      <c r="D248" s="390" t="s">
        <v>1331</v>
      </c>
      <c r="E248" s="391" t="s">
        <v>274</v>
      </c>
      <c r="F248" s="392"/>
      <c r="G248" s="392">
        <v>8126007010</v>
      </c>
      <c r="H248" s="392" t="s">
        <v>915</v>
      </c>
      <c r="I248" s="393" t="s">
        <v>610</v>
      </c>
      <c r="J248" s="392"/>
      <c r="K248" s="341"/>
      <c r="L248" s="341"/>
      <c r="M248" s="341"/>
      <c r="N248" s="341"/>
      <c r="O248" s="341"/>
      <c r="P248" s="341"/>
      <c r="Q248" s="390" t="s">
        <v>237</v>
      </c>
      <c r="R248" s="390">
        <v>4000</v>
      </c>
    </row>
    <row r="249" spans="1:18" ht="18.75" customHeight="1" x14ac:dyDescent="0.2">
      <c r="A249" s="388" t="s">
        <v>1129</v>
      </c>
      <c r="B249" s="388" t="s">
        <v>238</v>
      </c>
      <c r="C249" s="389">
        <v>9090</v>
      </c>
      <c r="D249" s="390" t="s">
        <v>1335</v>
      </c>
      <c r="E249" s="391" t="s">
        <v>290</v>
      </c>
      <c r="F249" s="392" t="s">
        <v>1191</v>
      </c>
      <c r="G249" s="392">
        <v>8126006524</v>
      </c>
      <c r="H249" s="392" t="s">
        <v>916</v>
      </c>
      <c r="I249" s="393" t="s">
        <v>616</v>
      </c>
      <c r="J249" s="392"/>
      <c r="K249" s="341"/>
      <c r="L249" s="341"/>
      <c r="M249" s="341"/>
      <c r="N249" s="341"/>
      <c r="O249" s="341"/>
      <c r="P249" s="341"/>
      <c r="Q249" s="390" t="s">
        <v>238</v>
      </c>
      <c r="R249" s="390">
        <v>9090</v>
      </c>
    </row>
    <row r="250" spans="1:18" ht="18.75" customHeight="1" x14ac:dyDescent="0.2">
      <c r="A250" s="388" t="s">
        <v>1955</v>
      </c>
      <c r="B250" s="388" t="s">
        <v>1956</v>
      </c>
      <c r="C250" s="389">
        <v>3030</v>
      </c>
      <c r="D250" s="390" t="s">
        <v>1356</v>
      </c>
      <c r="E250" s="395" t="s">
        <v>1173</v>
      </c>
      <c r="F250" s="392"/>
      <c r="G250" s="392"/>
      <c r="H250" s="392"/>
      <c r="I250" s="393" t="s">
        <v>877</v>
      </c>
      <c r="J250" s="392"/>
      <c r="K250" s="341"/>
      <c r="L250" s="341"/>
      <c r="M250" s="341"/>
      <c r="N250" s="341"/>
      <c r="O250" s="341"/>
      <c r="P250" s="341"/>
      <c r="Q250" s="390" t="s">
        <v>1956</v>
      </c>
      <c r="R250" s="390">
        <v>3030</v>
      </c>
    </row>
    <row r="251" spans="1:18" ht="18.75" customHeight="1" x14ac:dyDescent="0.2">
      <c r="A251" s="388" t="s">
        <v>1598</v>
      </c>
      <c r="B251" s="388" t="s">
        <v>1599</v>
      </c>
      <c r="C251" s="389">
        <v>2011</v>
      </c>
      <c r="D251" s="390" t="s">
        <v>451</v>
      </c>
      <c r="E251" s="391" t="s">
        <v>275</v>
      </c>
      <c r="F251" s="392"/>
      <c r="G251" s="392"/>
      <c r="H251" s="392" t="s">
        <v>1820</v>
      </c>
      <c r="I251" s="393" t="s">
        <v>765</v>
      </c>
      <c r="J251" s="392"/>
      <c r="K251" s="341"/>
      <c r="L251" s="341"/>
      <c r="M251" s="341"/>
      <c r="N251" s="341"/>
      <c r="O251" s="341"/>
      <c r="P251" s="341"/>
      <c r="Q251" s="390" t="s">
        <v>1599</v>
      </c>
      <c r="R251" s="390">
        <v>2011</v>
      </c>
    </row>
    <row r="252" spans="1:18" ht="18.75" customHeight="1" x14ac:dyDescent="0.2">
      <c r="A252" s="388" t="s">
        <v>1130</v>
      </c>
      <c r="B252" s="388" t="s">
        <v>239</v>
      </c>
      <c r="C252" s="389">
        <v>5001</v>
      </c>
      <c r="D252" s="390" t="s">
        <v>1335</v>
      </c>
      <c r="E252" s="391" t="s">
        <v>680</v>
      </c>
      <c r="F252" s="392"/>
      <c r="G252" s="392">
        <v>8126006627</v>
      </c>
      <c r="H252" s="392" t="s">
        <v>917</v>
      </c>
      <c r="I252" s="393" t="s">
        <v>616</v>
      </c>
      <c r="J252" s="392"/>
      <c r="K252" s="341"/>
      <c r="L252" s="341"/>
      <c r="M252" s="341"/>
      <c r="N252" s="341"/>
      <c r="O252" s="341"/>
      <c r="P252" s="341"/>
      <c r="Q252" s="390" t="s">
        <v>239</v>
      </c>
      <c r="R252" s="390">
        <v>5001</v>
      </c>
    </row>
    <row r="253" spans="1:18" ht="18.75" customHeight="1" x14ac:dyDescent="0.2">
      <c r="A253" s="348" t="s">
        <v>1216</v>
      </c>
      <c r="B253" s="348" t="s">
        <v>1217</v>
      </c>
      <c r="C253" s="348">
        <v>3076</v>
      </c>
      <c r="D253" s="396" t="s">
        <v>443</v>
      </c>
      <c r="E253" s="396" t="s">
        <v>1419</v>
      </c>
      <c r="F253" s="350"/>
      <c r="G253" s="350">
        <v>0</v>
      </c>
      <c r="H253" s="350" t="s">
        <v>1220</v>
      </c>
      <c r="I253" s="396" t="s">
        <v>1276</v>
      </c>
      <c r="J253" s="351">
        <v>42900010</v>
      </c>
      <c r="K253" s="352"/>
      <c r="L253" s="352" t="s">
        <v>1221</v>
      </c>
      <c r="M253" s="352" t="s">
        <v>1219</v>
      </c>
      <c r="N253" s="353" t="s">
        <v>1218</v>
      </c>
      <c r="O253" s="396">
        <v>1005977693</v>
      </c>
      <c r="P253" s="349" t="s">
        <v>1507</v>
      </c>
      <c r="Q253" s="348" t="s">
        <v>1217</v>
      </c>
      <c r="R253" s="348">
        <v>3076</v>
      </c>
    </row>
    <row r="254" spans="1:18" ht="18.75" customHeight="1" x14ac:dyDescent="0.2">
      <c r="A254" s="388" t="s">
        <v>1541</v>
      </c>
      <c r="B254" s="388" t="s">
        <v>1542</v>
      </c>
      <c r="C254" s="389">
        <v>4000</v>
      </c>
      <c r="D254" s="390" t="s">
        <v>194</v>
      </c>
      <c r="E254" s="391" t="s">
        <v>1588</v>
      </c>
      <c r="F254" s="392"/>
      <c r="G254" s="392"/>
      <c r="H254" s="392" t="s">
        <v>1589</v>
      </c>
      <c r="I254" s="393" t="s">
        <v>610</v>
      </c>
      <c r="J254" s="392"/>
      <c r="K254" s="341"/>
      <c r="L254" s="341"/>
      <c r="M254" s="341"/>
      <c r="N254" s="341"/>
      <c r="O254" s="341"/>
      <c r="P254" s="341"/>
      <c r="Q254" s="390" t="s">
        <v>1542</v>
      </c>
      <c r="R254" s="390">
        <v>4000</v>
      </c>
    </row>
    <row r="255" spans="1:18" ht="18.75" customHeight="1" x14ac:dyDescent="0.2">
      <c r="A255" s="388" t="s">
        <v>1131</v>
      </c>
      <c r="B255" s="388" t="s">
        <v>681</v>
      </c>
      <c r="C255" s="389">
        <v>3070</v>
      </c>
      <c r="D255" s="390" t="s">
        <v>443</v>
      </c>
      <c r="E255" s="391" t="s">
        <v>244</v>
      </c>
      <c r="F255" s="392"/>
      <c r="G255" s="392">
        <v>0</v>
      </c>
      <c r="H255" s="392" t="s">
        <v>1222</v>
      </c>
      <c r="I255" s="393" t="s">
        <v>615</v>
      </c>
      <c r="J255" s="392"/>
      <c r="K255" s="341"/>
      <c r="L255" s="341" t="s">
        <v>1821</v>
      </c>
      <c r="M255" s="341" t="s">
        <v>1822</v>
      </c>
      <c r="N255" s="341" t="s">
        <v>1823</v>
      </c>
      <c r="O255" s="341"/>
      <c r="P255" s="341" t="s">
        <v>1507</v>
      </c>
      <c r="Q255" s="390" t="s">
        <v>681</v>
      </c>
      <c r="R255" s="390">
        <v>3070</v>
      </c>
    </row>
    <row r="256" spans="1:18" ht="18.75" customHeight="1" x14ac:dyDescent="0.2">
      <c r="A256" s="388" t="s">
        <v>1420</v>
      </c>
      <c r="B256" s="388" t="s">
        <v>1421</v>
      </c>
      <c r="C256" s="389">
        <v>3410</v>
      </c>
      <c r="D256" s="390" t="s">
        <v>1323</v>
      </c>
      <c r="E256" s="391" t="s">
        <v>1422</v>
      </c>
      <c r="F256" s="392"/>
      <c r="G256" s="392">
        <v>8126007168</v>
      </c>
      <c r="H256" s="392" t="s">
        <v>1326</v>
      </c>
      <c r="I256" s="393" t="s">
        <v>1313</v>
      </c>
      <c r="J256" s="392"/>
      <c r="K256" s="341"/>
      <c r="L256" s="341" t="s">
        <v>1824</v>
      </c>
      <c r="M256" s="341" t="s">
        <v>1825</v>
      </c>
      <c r="N256" s="341" t="s">
        <v>1826</v>
      </c>
      <c r="O256" s="341"/>
      <c r="P256" s="341" t="s">
        <v>1507</v>
      </c>
      <c r="Q256" s="390" t="s">
        <v>1421</v>
      </c>
      <c r="R256" s="390">
        <v>3410</v>
      </c>
    </row>
    <row r="257" spans="1:18" ht="42.75" x14ac:dyDescent="0.2">
      <c r="A257" s="388" t="s">
        <v>1141</v>
      </c>
      <c r="B257" s="388" t="s">
        <v>1223</v>
      </c>
      <c r="C257" s="389">
        <v>3073</v>
      </c>
      <c r="D257" s="390" t="s">
        <v>443</v>
      </c>
      <c r="E257" s="391" t="s">
        <v>1423</v>
      </c>
      <c r="F257" s="392"/>
      <c r="G257" s="392">
        <v>8126007151</v>
      </c>
      <c r="H257" s="392" t="s">
        <v>1142</v>
      </c>
      <c r="I257" s="393" t="s">
        <v>935</v>
      </c>
      <c r="J257" s="392"/>
      <c r="K257" s="341"/>
      <c r="L257" s="341" t="s">
        <v>1827</v>
      </c>
      <c r="M257" s="341" t="s">
        <v>1828</v>
      </c>
      <c r="N257" s="341" t="s">
        <v>1829</v>
      </c>
      <c r="O257" s="341">
        <v>1005977769</v>
      </c>
      <c r="P257" s="341" t="s">
        <v>1507</v>
      </c>
      <c r="Q257" s="390" t="s">
        <v>1223</v>
      </c>
      <c r="R257" s="390">
        <v>3073</v>
      </c>
    </row>
    <row r="258" spans="1:18" x14ac:dyDescent="0.2">
      <c r="A258" s="388" t="s">
        <v>1132</v>
      </c>
      <c r="B258" s="388" t="s">
        <v>756</v>
      </c>
      <c r="C258" s="389">
        <v>3030</v>
      </c>
      <c r="D258" s="390" t="s">
        <v>1356</v>
      </c>
      <c r="E258" s="391" t="s">
        <v>290</v>
      </c>
      <c r="F258" s="392" t="s">
        <v>520</v>
      </c>
      <c r="G258" s="392">
        <v>8126007119</v>
      </c>
      <c r="H258" s="392" t="s">
        <v>918</v>
      </c>
      <c r="I258" s="393" t="s">
        <v>877</v>
      </c>
      <c r="J258" s="392"/>
      <c r="K258" s="341"/>
      <c r="L258" s="341"/>
      <c r="M258" s="341"/>
      <c r="N258" s="341"/>
      <c r="O258" s="341"/>
      <c r="P258" s="341"/>
      <c r="Q258" s="390" t="s">
        <v>756</v>
      </c>
      <c r="R258" s="390">
        <v>3030</v>
      </c>
    </row>
    <row r="259" spans="1:18" x14ac:dyDescent="0.2">
      <c r="A259" s="348" t="s">
        <v>1424</v>
      </c>
      <c r="B259" s="348" t="s">
        <v>1425</v>
      </c>
      <c r="C259" s="348">
        <v>3002</v>
      </c>
      <c r="D259" s="396" t="s">
        <v>443</v>
      </c>
      <c r="E259" s="396" t="s">
        <v>1377</v>
      </c>
      <c r="F259" s="350"/>
      <c r="G259" s="350">
        <v>0</v>
      </c>
      <c r="H259" s="350" t="s">
        <v>1426</v>
      </c>
      <c r="I259" s="396" t="s">
        <v>1276</v>
      </c>
      <c r="J259" s="351">
        <v>42900010</v>
      </c>
      <c r="K259" s="352"/>
      <c r="L259" s="352" t="s">
        <v>1830</v>
      </c>
      <c r="M259" s="352" t="s">
        <v>1831</v>
      </c>
      <c r="N259" s="353" t="s">
        <v>1832</v>
      </c>
      <c r="O259" s="396">
        <v>1005977770</v>
      </c>
      <c r="P259" s="349" t="s">
        <v>1507</v>
      </c>
      <c r="Q259" s="348" t="s">
        <v>1425</v>
      </c>
      <c r="R259" s="348">
        <v>3002</v>
      </c>
    </row>
    <row r="260" spans="1:18" ht="42.75" x14ac:dyDescent="0.2">
      <c r="A260" s="388" t="s">
        <v>1133</v>
      </c>
      <c r="B260" s="388" t="s">
        <v>240</v>
      </c>
      <c r="C260" s="389">
        <v>3072</v>
      </c>
      <c r="D260" s="390" t="s">
        <v>443</v>
      </c>
      <c r="E260" s="391" t="s">
        <v>400</v>
      </c>
      <c r="F260" s="392"/>
      <c r="G260" s="392">
        <v>8126006563</v>
      </c>
      <c r="H260" s="392" t="s">
        <v>919</v>
      </c>
      <c r="I260" s="393" t="s">
        <v>766</v>
      </c>
      <c r="J260" s="392"/>
      <c r="K260" s="341"/>
      <c r="L260" s="341" t="s">
        <v>1833</v>
      </c>
      <c r="M260" s="341" t="s">
        <v>1834</v>
      </c>
      <c r="N260" s="341" t="s">
        <v>1835</v>
      </c>
      <c r="O260" s="341">
        <v>1005977760</v>
      </c>
      <c r="P260" s="341" t="s">
        <v>1507</v>
      </c>
      <c r="Q260" s="390" t="s">
        <v>240</v>
      </c>
      <c r="R260" s="390">
        <v>3072</v>
      </c>
    </row>
    <row r="261" spans="1:18" ht="42.75" x14ac:dyDescent="0.2">
      <c r="A261" s="388" t="s">
        <v>1134</v>
      </c>
      <c r="B261" s="388" t="s">
        <v>930</v>
      </c>
      <c r="C261" s="389">
        <v>3010</v>
      </c>
      <c r="D261" s="390" t="s">
        <v>443</v>
      </c>
      <c r="E261" s="391" t="s">
        <v>1427</v>
      </c>
      <c r="F261" s="392"/>
      <c r="G261" s="392">
        <v>8126007124</v>
      </c>
      <c r="H261" s="392" t="s">
        <v>931</v>
      </c>
      <c r="I261" s="393" t="s">
        <v>1276</v>
      </c>
      <c r="J261" s="392"/>
      <c r="K261" s="341"/>
      <c r="L261" s="341" t="s">
        <v>1269</v>
      </c>
      <c r="M261" s="341" t="s">
        <v>956</v>
      </c>
      <c r="N261" s="341" t="s">
        <v>955</v>
      </c>
      <c r="O261" s="341" t="s">
        <v>1495</v>
      </c>
      <c r="P261" s="341" t="s">
        <v>1507</v>
      </c>
      <c r="Q261" s="390" t="s">
        <v>930</v>
      </c>
      <c r="R261" s="390">
        <v>3010</v>
      </c>
    </row>
    <row r="262" spans="1:18" ht="25.5" x14ac:dyDescent="0.2">
      <c r="A262" s="388" t="s">
        <v>1135</v>
      </c>
      <c r="B262" s="388" t="s">
        <v>972</v>
      </c>
      <c r="C262" s="389">
        <v>3000</v>
      </c>
      <c r="D262" s="390" t="s">
        <v>445</v>
      </c>
      <c r="E262" s="391" t="s">
        <v>957</v>
      </c>
      <c r="F262" s="392"/>
      <c r="G262" s="392">
        <v>0</v>
      </c>
      <c r="H262" s="392" t="s">
        <v>958</v>
      </c>
      <c r="I262" s="393" t="s">
        <v>1276</v>
      </c>
      <c r="J262" s="392"/>
      <c r="K262" s="341"/>
      <c r="L262" s="341"/>
      <c r="M262" s="341"/>
      <c r="N262" s="341"/>
      <c r="O262" s="341"/>
      <c r="P262" s="341" t="s">
        <v>1507</v>
      </c>
      <c r="Q262" s="390" t="s">
        <v>972</v>
      </c>
      <c r="R262" s="390">
        <v>3000</v>
      </c>
    </row>
    <row r="263" spans="1:18" ht="42.75" x14ac:dyDescent="0.2">
      <c r="A263" s="388" t="s">
        <v>1543</v>
      </c>
      <c r="B263" s="388" t="s">
        <v>1544</v>
      </c>
      <c r="C263" s="389">
        <v>3076</v>
      </c>
      <c r="D263" s="390" t="s">
        <v>443</v>
      </c>
      <c r="E263" s="391" t="s">
        <v>401</v>
      </c>
      <c r="F263" s="392"/>
      <c r="G263" s="392">
        <v>8126006628</v>
      </c>
      <c r="H263" s="392" t="s">
        <v>920</v>
      </c>
      <c r="I263" s="393" t="s">
        <v>1220</v>
      </c>
      <c r="J263" s="392"/>
      <c r="K263" s="341"/>
      <c r="L263" s="341" t="s">
        <v>1836</v>
      </c>
      <c r="M263" s="341" t="s">
        <v>1837</v>
      </c>
      <c r="N263" s="341" t="s">
        <v>1838</v>
      </c>
      <c r="O263" s="341">
        <v>1005977696</v>
      </c>
      <c r="P263" s="341" t="s">
        <v>1507</v>
      </c>
      <c r="Q263" s="390" t="s">
        <v>1544</v>
      </c>
      <c r="R263" s="390">
        <v>3076</v>
      </c>
    </row>
    <row r="264" spans="1:18" ht="28.5" x14ac:dyDescent="0.2">
      <c r="A264" s="388" t="s">
        <v>1905</v>
      </c>
      <c r="B264" s="388" t="s">
        <v>1906</v>
      </c>
      <c r="C264" s="389">
        <v>3030</v>
      </c>
      <c r="D264" s="390" t="s">
        <v>1356</v>
      </c>
      <c r="E264" s="391" t="s">
        <v>266</v>
      </c>
      <c r="F264" s="392"/>
      <c r="G264" s="392"/>
      <c r="H264" s="392"/>
      <c r="I264" s="393" t="s">
        <v>877</v>
      </c>
      <c r="J264" s="392"/>
      <c r="K264" s="341"/>
      <c r="L264" s="341"/>
      <c r="M264" s="341"/>
      <c r="N264" s="341"/>
      <c r="O264" s="341"/>
      <c r="P264" s="341"/>
      <c r="Q264" s="390" t="s">
        <v>1906</v>
      </c>
      <c r="R264" s="390">
        <v>3030</v>
      </c>
    </row>
    <row r="265" spans="1:18" x14ac:dyDescent="0.2">
      <c r="A265" s="388" t="s">
        <v>1136</v>
      </c>
      <c r="B265" s="388" t="s">
        <v>625</v>
      </c>
      <c r="C265" s="389">
        <v>2020</v>
      </c>
      <c r="D265" s="390" t="s">
        <v>448</v>
      </c>
      <c r="E265" s="391" t="s">
        <v>470</v>
      </c>
      <c r="F265" s="392"/>
      <c r="G265" s="392">
        <v>8126007152</v>
      </c>
      <c r="H265" s="392" t="s">
        <v>921</v>
      </c>
      <c r="I265" s="393" t="s">
        <v>765</v>
      </c>
      <c r="J265" s="392"/>
      <c r="K265" s="341"/>
      <c r="L265" s="341"/>
      <c r="M265" s="341"/>
      <c r="N265" s="341"/>
      <c r="O265" s="341"/>
      <c r="P265" s="341"/>
      <c r="Q265" s="390" t="s">
        <v>625</v>
      </c>
      <c r="R265" s="390">
        <v>2020</v>
      </c>
    </row>
    <row r="266" spans="1:18" x14ac:dyDescent="0.2">
      <c r="A266" s="388" t="s">
        <v>1170</v>
      </c>
      <c r="B266" s="388" t="s">
        <v>1224</v>
      </c>
      <c r="C266" s="389">
        <v>6000</v>
      </c>
      <c r="D266" s="390" t="s">
        <v>157</v>
      </c>
      <c r="E266" s="391" t="s">
        <v>284</v>
      </c>
      <c r="F266" s="392" t="s">
        <v>1192</v>
      </c>
      <c r="G266" s="392">
        <v>8126007149</v>
      </c>
      <c r="H266" s="392" t="s">
        <v>1313</v>
      </c>
      <c r="I266" s="393" t="s">
        <v>616</v>
      </c>
      <c r="J266" s="392"/>
      <c r="K266" s="341"/>
      <c r="L266" s="341" t="s">
        <v>1314</v>
      </c>
      <c r="M266" s="341" t="s">
        <v>485</v>
      </c>
      <c r="N266" s="341" t="s">
        <v>1312</v>
      </c>
      <c r="O266" s="341">
        <v>1005049703</v>
      </c>
      <c r="P266" s="341" t="s">
        <v>1507</v>
      </c>
      <c r="Q266" s="390" t="s">
        <v>1224</v>
      </c>
      <c r="R266" s="390">
        <v>6000</v>
      </c>
    </row>
    <row r="267" spans="1:18" ht="28.5" x14ac:dyDescent="0.2">
      <c r="A267" s="388" t="s">
        <v>1137</v>
      </c>
      <c r="B267" s="388" t="s">
        <v>412</v>
      </c>
      <c r="C267" s="389">
        <v>4000</v>
      </c>
      <c r="D267" s="390" t="s">
        <v>194</v>
      </c>
      <c r="E267" s="391" t="s">
        <v>1428</v>
      </c>
      <c r="F267" s="392" t="s">
        <v>545</v>
      </c>
      <c r="G267" s="392">
        <v>8126007041</v>
      </c>
      <c r="H267" s="392" t="s">
        <v>922</v>
      </c>
      <c r="I267" s="393" t="s">
        <v>610</v>
      </c>
      <c r="J267" s="392"/>
      <c r="K267" s="341"/>
      <c r="L267" s="341" t="s">
        <v>1271</v>
      </c>
      <c r="M267" s="341" t="s">
        <v>685</v>
      </c>
      <c r="N267" s="341" t="s">
        <v>684</v>
      </c>
      <c r="O267" s="341">
        <v>1005611173</v>
      </c>
      <c r="P267" s="341"/>
      <c r="Q267" s="390" t="s">
        <v>412</v>
      </c>
      <c r="R267" s="390">
        <v>4000</v>
      </c>
    </row>
    <row r="268" spans="1:18" ht="28.5" x14ac:dyDescent="0.2">
      <c r="A268" s="388" t="s">
        <v>1138</v>
      </c>
      <c r="B268" s="388" t="s">
        <v>360</v>
      </c>
      <c r="C268" s="389">
        <v>3073</v>
      </c>
      <c r="D268" s="390" t="s">
        <v>443</v>
      </c>
      <c r="E268" s="391" t="s">
        <v>291</v>
      </c>
      <c r="F268" s="392"/>
      <c r="G268" s="392">
        <v>8126006213</v>
      </c>
      <c r="H268" s="392" t="s">
        <v>923</v>
      </c>
      <c r="I268" s="393" t="s">
        <v>935</v>
      </c>
      <c r="J268" s="392"/>
      <c r="K268" s="341"/>
      <c r="L268" s="341" t="s">
        <v>1272</v>
      </c>
      <c r="M268" s="341" t="s">
        <v>764</v>
      </c>
      <c r="N268" s="341" t="s">
        <v>763</v>
      </c>
      <c r="O268" s="341" t="s">
        <v>639</v>
      </c>
      <c r="P268" s="341" t="s">
        <v>1507</v>
      </c>
      <c r="Q268" s="390" t="s">
        <v>360</v>
      </c>
      <c r="R268" s="390">
        <v>3073</v>
      </c>
    </row>
    <row r="269" spans="1:18" ht="42.75" x14ac:dyDescent="0.2">
      <c r="A269" s="388" t="s">
        <v>1663</v>
      </c>
      <c r="B269" s="388" t="s">
        <v>1664</v>
      </c>
      <c r="C269" s="389">
        <v>3072</v>
      </c>
      <c r="D269" s="390" t="s">
        <v>443</v>
      </c>
      <c r="E269" s="391" t="s">
        <v>1665</v>
      </c>
      <c r="F269" s="392"/>
      <c r="G269" s="392">
        <v>8126007201</v>
      </c>
      <c r="H269" s="392" t="s">
        <v>1870</v>
      </c>
      <c r="I269" s="393" t="s">
        <v>766</v>
      </c>
      <c r="J269" s="392"/>
      <c r="K269" s="341"/>
      <c r="L269" s="341" t="s">
        <v>1839</v>
      </c>
      <c r="M269" s="341" t="s">
        <v>1840</v>
      </c>
      <c r="N269" s="341" t="s">
        <v>1841</v>
      </c>
      <c r="O269" s="341"/>
      <c r="P269" s="341" t="s">
        <v>1507</v>
      </c>
      <c r="Q269" s="390" t="s">
        <v>1664</v>
      </c>
      <c r="R269" s="390">
        <v>3072</v>
      </c>
    </row>
    <row r="270" spans="1:18" ht="28.5" x14ac:dyDescent="0.2">
      <c r="A270" s="388" t="s">
        <v>1139</v>
      </c>
      <c r="B270" s="388" t="s">
        <v>361</v>
      </c>
      <c r="C270" s="389">
        <v>3077</v>
      </c>
      <c r="D270" s="390" t="s">
        <v>443</v>
      </c>
      <c r="E270" s="391" t="s">
        <v>330</v>
      </c>
      <c r="F270" s="392"/>
      <c r="G270" s="392">
        <v>8126007004</v>
      </c>
      <c r="H270" s="392" t="s">
        <v>924</v>
      </c>
      <c r="I270" s="393" t="s">
        <v>612</v>
      </c>
      <c r="J270" s="392"/>
      <c r="K270" s="341"/>
      <c r="L270" s="341" t="s">
        <v>1871</v>
      </c>
      <c r="M270" s="341" t="s">
        <v>1872</v>
      </c>
      <c r="N270" s="341" t="s">
        <v>1873</v>
      </c>
      <c r="O270" s="341">
        <v>1005611161</v>
      </c>
      <c r="P270" s="341" t="s">
        <v>1507</v>
      </c>
      <c r="Q270" s="390" t="s">
        <v>361</v>
      </c>
      <c r="R270" s="390">
        <v>3077</v>
      </c>
    </row>
    <row r="271" spans="1:18" x14ac:dyDescent="0.2">
      <c r="D271" s="137"/>
      <c r="L271" s="341"/>
      <c r="M271" s="341"/>
      <c r="N271" s="341"/>
      <c r="O271" s="341"/>
      <c r="Q271" s="137"/>
      <c r="R271" s="137"/>
    </row>
    <row r="275" spans="5:5" x14ac:dyDescent="0.2">
      <c r="E275" s="368"/>
    </row>
    <row r="280" spans="5:5" x14ac:dyDescent="0.2">
      <c r="E280" s="368"/>
    </row>
  </sheetData>
  <sheetProtection algorithmName="SHA-512" hashValue="6qKYuYg8hhRugF/FxoOn5+Nfz76XvtpYrbKAtVbVXioIL27j2xdmMowAVptRdlqVQUGXt+YLT9heuDAazceJ/g==" saltValue="kyThahaXAzb8SuzWDD5vvA==" spinCount="100000" sheet="1" formatCells="0" formatColumns="0" formatRows="0"/>
  <autoFilter ref="A1:O270" xr:uid="{00000000-0009-0000-0000-000003000000}"/>
  <sortState xmlns:xlrd2="http://schemas.microsoft.com/office/spreadsheetml/2017/richdata2" ref="A260:J283">
    <sortCondition ref="I260:I283"/>
  </sortState>
  <conditionalFormatting sqref="L271">
    <cfRule type="duplicateValues" dxfId="0" priority="1" stopIfTrue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Q58"/>
  <sheetViews>
    <sheetView topLeftCell="A23" workbookViewId="0">
      <selection activeCell="E40" sqref="E40"/>
    </sheetView>
  </sheetViews>
  <sheetFormatPr defaultRowHeight="12.75" x14ac:dyDescent="0.2"/>
  <cols>
    <col min="1" max="1" width="22.28515625" customWidth="1"/>
    <col min="2" max="3" width="9.28515625" customWidth="1"/>
    <col min="4" max="4" width="21.7109375" customWidth="1"/>
    <col min="5" max="5" width="25.7109375" customWidth="1"/>
    <col min="6" max="7" width="9.28515625" customWidth="1"/>
    <col min="8" max="9" width="9" customWidth="1"/>
    <col min="10" max="10" width="26.5703125" customWidth="1"/>
    <col min="11" max="11" width="36.140625" bestFit="1" customWidth="1"/>
    <col min="12" max="12" width="11.42578125" bestFit="1" customWidth="1"/>
    <col min="13" max="16" width="9.28515625" customWidth="1"/>
  </cols>
  <sheetData>
    <row r="1" spans="1:11" s="45" customFormat="1" ht="12.75" hidden="1" customHeight="1" x14ac:dyDescent="0.2">
      <c r="A1" s="48" t="s">
        <v>14</v>
      </c>
      <c r="B1" s="49" t="s">
        <v>24</v>
      </c>
      <c r="C1" s="49" t="s">
        <v>11</v>
      </c>
      <c r="D1" s="49" t="s">
        <v>123</v>
      </c>
      <c r="E1" s="49" t="s">
        <v>25</v>
      </c>
      <c r="F1" s="49" t="s">
        <v>151</v>
      </c>
      <c r="G1" s="49" t="s">
        <v>149</v>
      </c>
      <c r="H1" s="49" t="s">
        <v>152</v>
      </c>
      <c r="I1" s="49" t="s">
        <v>29</v>
      </c>
      <c r="J1" s="49" t="s">
        <v>26</v>
      </c>
      <c r="K1" s="49" t="s">
        <v>308</v>
      </c>
    </row>
    <row r="2" spans="1:11" s="45" customFormat="1" hidden="1" x14ac:dyDescent="0.2">
      <c r="A2" s="46">
        <v>1</v>
      </c>
      <c r="B2" s="123"/>
      <c r="C2" s="124"/>
      <c r="D2" s="77"/>
      <c r="E2" s="77"/>
      <c r="F2" s="77"/>
      <c r="G2" s="77"/>
      <c r="H2" s="73"/>
      <c r="I2" s="125"/>
      <c r="J2" s="126"/>
      <c r="K2" s="122">
        <f>IF(ISNUMBER(VLOOKUP('Форма для заполнения'!$D$2,'Список работников'!A:D,5,0)),VLOOKUP('Форма для заполнения'!$D$2,'Список работников'!A:D,5,0),0)</f>
        <v>0</v>
      </c>
    </row>
    <row r="3" spans="1:11" s="45" customFormat="1" hidden="1" x14ac:dyDescent="0.2">
      <c r="A3" s="46">
        <v>2</v>
      </c>
      <c r="B3" s="123"/>
      <c r="C3" s="124"/>
      <c r="D3" s="77"/>
      <c r="E3" s="77"/>
      <c r="F3" s="77"/>
      <c r="G3" s="77"/>
      <c r="H3" s="73"/>
      <c r="I3" s="125"/>
      <c r="J3" s="126"/>
    </row>
    <row r="4" spans="1:11" s="45" customFormat="1" hidden="1" x14ac:dyDescent="0.2">
      <c r="A4" s="46">
        <v>3</v>
      </c>
      <c r="B4" s="123"/>
      <c r="C4" s="124"/>
      <c r="D4" s="77"/>
      <c r="E4" s="77"/>
      <c r="F4" s="77"/>
      <c r="G4" s="77"/>
      <c r="H4" s="73"/>
      <c r="I4" s="125"/>
      <c r="J4" s="126"/>
    </row>
    <row r="5" spans="1:11" s="45" customFormat="1" hidden="1" x14ac:dyDescent="0.2">
      <c r="A5" s="46">
        <v>4</v>
      </c>
      <c r="B5" s="123"/>
      <c r="C5" s="124"/>
      <c r="D5" s="77"/>
      <c r="E5" s="77"/>
      <c r="F5" s="77"/>
      <c r="G5" s="77"/>
      <c r="H5" s="73"/>
      <c r="I5" s="125"/>
      <c r="J5" s="126"/>
    </row>
    <row r="6" spans="1:11" s="45" customFormat="1" hidden="1" x14ac:dyDescent="0.2">
      <c r="A6" s="46">
        <v>5</v>
      </c>
      <c r="B6" s="123"/>
      <c r="C6" s="124"/>
      <c r="D6" s="77"/>
      <c r="E6" s="77"/>
      <c r="F6" s="77"/>
      <c r="G6" s="77"/>
      <c r="H6" s="73"/>
      <c r="I6" s="125"/>
      <c r="J6" s="126"/>
    </row>
    <row r="7" spans="1:11" s="45" customFormat="1" hidden="1" x14ac:dyDescent="0.2">
      <c r="A7" s="46">
        <v>6</v>
      </c>
      <c r="B7" s="123"/>
      <c r="C7" s="124"/>
      <c r="D7" s="77"/>
      <c r="E7" s="77"/>
      <c r="F7" s="77"/>
      <c r="G7" s="77"/>
      <c r="H7" s="73"/>
      <c r="I7" s="125"/>
      <c r="J7" s="126"/>
    </row>
    <row r="8" spans="1:11" s="45" customFormat="1" hidden="1" x14ac:dyDescent="0.2">
      <c r="A8" s="46">
        <v>7</v>
      </c>
      <c r="B8" s="123"/>
      <c r="C8" s="124"/>
      <c r="D8" s="77"/>
      <c r="E8" s="77"/>
      <c r="F8" s="77"/>
      <c r="G8" s="77"/>
      <c r="H8" s="73"/>
      <c r="I8" s="125"/>
      <c r="J8" s="126"/>
    </row>
    <row r="9" spans="1:11" s="45" customFormat="1" hidden="1" x14ac:dyDescent="0.2">
      <c r="A9" s="46">
        <v>8</v>
      </c>
      <c r="B9" s="123"/>
      <c r="C9" s="124"/>
      <c r="D9" s="77"/>
      <c r="E9" s="77"/>
      <c r="F9" s="77"/>
      <c r="G9" s="77"/>
      <c r="H9" s="73"/>
      <c r="I9" s="125"/>
      <c r="J9" s="126"/>
    </row>
    <row r="10" spans="1:11" s="45" customFormat="1" hidden="1" x14ac:dyDescent="0.2">
      <c r="A10" s="46">
        <v>9</v>
      </c>
      <c r="B10" s="123"/>
      <c r="C10" s="124"/>
      <c r="D10" s="77"/>
      <c r="E10" s="77"/>
      <c r="F10" s="77"/>
      <c r="G10" s="77"/>
      <c r="H10" s="73"/>
      <c r="I10" s="125"/>
      <c r="J10" s="126"/>
    </row>
    <row r="11" spans="1:11" s="45" customFormat="1" hidden="1" x14ac:dyDescent="0.2">
      <c r="A11" s="46">
        <v>10</v>
      </c>
      <c r="B11" s="123"/>
      <c r="C11" s="124"/>
      <c r="D11" s="77"/>
      <c r="E11" s="77"/>
      <c r="F11" s="77"/>
      <c r="G11" s="77"/>
      <c r="H11" s="73"/>
      <c r="I11" s="125"/>
      <c r="J11" s="126"/>
    </row>
    <row r="12" spans="1:11" s="45" customFormat="1" hidden="1" x14ac:dyDescent="0.2">
      <c r="A12" s="46">
        <v>11</v>
      </c>
      <c r="B12" s="123"/>
      <c r="C12" s="124"/>
      <c r="D12" s="77"/>
      <c r="E12" s="77"/>
      <c r="F12" s="77"/>
      <c r="G12" s="77"/>
      <c r="H12" s="73"/>
      <c r="I12" s="125"/>
      <c r="J12" s="126"/>
    </row>
    <row r="13" spans="1:11" s="45" customFormat="1" hidden="1" x14ac:dyDescent="0.2">
      <c r="A13" s="46">
        <v>12</v>
      </c>
      <c r="B13" s="123"/>
      <c r="C13" s="124"/>
      <c r="D13" s="77"/>
      <c r="E13" s="77"/>
      <c r="F13" s="77"/>
      <c r="G13" s="77"/>
      <c r="H13" s="73"/>
      <c r="I13" s="125"/>
      <c r="J13" s="126"/>
    </row>
    <row r="14" spans="1:11" s="45" customFormat="1" hidden="1" x14ac:dyDescent="0.2">
      <c r="A14" s="46">
        <v>13</v>
      </c>
      <c r="B14" s="123"/>
      <c r="C14" s="124"/>
      <c r="D14" s="77"/>
      <c r="E14" s="77"/>
      <c r="F14" s="77"/>
      <c r="G14" s="77"/>
      <c r="H14" s="73"/>
      <c r="I14" s="125"/>
      <c r="J14" s="126"/>
    </row>
    <row r="15" spans="1:11" s="45" customFormat="1" hidden="1" x14ac:dyDescent="0.2">
      <c r="A15" s="46">
        <v>14</v>
      </c>
      <c r="B15" s="123"/>
      <c r="C15" s="124"/>
      <c r="D15" s="77"/>
      <c r="E15" s="77"/>
      <c r="F15" s="77"/>
      <c r="G15" s="77"/>
      <c r="H15" s="73"/>
      <c r="I15" s="125"/>
      <c r="J15" s="126"/>
    </row>
    <row r="16" spans="1:11" s="45" customFormat="1" hidden="1" x14ac:dyDescent="0.2">
      <c r="A16" s="46">
        <v>15</v>
      </c>
      <c r="B16" s="123"/>
      <c r="C16" s="124"/>
      <c r="D16" s="77"/>
      <c r="E16" s="77"/>
      <c r="F16" s="77"/>
      <c r="G16" s="77"/>
      <c r="H16" s="73"/>
      <c r="I16" s="125"/>
      <c r="J16" s="126"/>
    </row>
    <row r="17" spans="1:17" s="45" customFormat="1" hidden="1" x14ac:dyDescent="0.2">
      <c r="A17" s="46">
        <v>16</v>
      </c>
      <c r="B17" s="123"/>
      <c r="C17" s="124"/>
      <c r="D17" s="77"/>
      <c r="E17" s="77"/>
      <c r="F17" s="77"/>
      <c r="G17" s="77"/>
      <c r="H17" s="73"/>
      <c r="I17" s="125"/>
      <c r="J17" s="126"/>
    </row>
    <row r="18" spans="1:17" s="45" customFormat="1" hidden="1" x14ac:dyDescent="0.2">
      <c r="A18" s="46">
        <v>17</v>
      </c>
      <c r="B18" s="123"/>
      <c r="C18" s="124"/>
      <c r="D18" s="77"/>
      <c r="E18" s="77"/>
      <c r="F18" s="77"/>
      <c r="G18" s="77"/>
      <c r="H18" s="73"/>
      <c r="I18" s="125"/>
      <c r="J18" s="126"/>
    </row>
    <row r="19" spans="1:17" s="45" customFormat="1" hidden="1" x14ac:dyDescent="0.2">
      <c r="A19" s="46">
        <v>18</v>
      </c>
      <c r="B19" s="123"/>
      <c r="C19" s="124"/>
      <c r="D19" s="77"/>
      <c r="E19" s="77"/>
      <c r="F19" s="77"/>
      <c r="G19" s="77"/>
      <c r="H19" s="73"/>
      <c r="I19" s="125"/>
      <c r="J19" s="126"/>
    </row>
    <row r="20" spans="1:17" s="45" customFormat="1" hidden="1" x14ac:dyDescent="0.2">
      <c r="A20" s="46">
        <v>19</v>
      </c>
      <c r="B20" s="123"/>
      <c r="C20" s="124"/>
      <c r="D20" s="77"/>
      <c r="E20" s="77"/>
      <c r="F20" s="77"/>
      <c r="G20" s="77"/>
      <c r="H20" s="73"/>
      <c r="I20" s="125"/>
      <c r="J20" s="126"/>
    </row>
    <row r="21" spans="1:17" s="45" customFormat="1" hidden="1" x14ac:dyDescent="0.2">
      <c r="A21" s="46">
        <v>20</v>
      </c>
      <c r="B21" s="123"/>
      <c r="C21" s="124"/>
      <c r="D21" s="77"/>
      <c r="E21" s="77"/>
      <c r="F21" s="77"/>
      <c r="G21" s="77"/>
      <c r="H21" s="73"/>
      <c r="I21" s="125"/>
      <c r="J21" s="126"/>
    </row>
    <row r="22" spans="1:17" s="45" customFormat="1" ht="13.5" hidden="1" thickBot="1" x14ac:dyDescent="0.25">
      <c r="A22" s="262" t="s">
        <v>1509</v>
      </c>
      <c r="B22" s="263"/>
      <c r="C22" s="300"/>
      <c r="D22" s="52"/>
      <c r="E22" s="51"/>
      <c r="F22" s="51"/>
      <c r="G22" s="51"/>
      <c r="H22" s="53"/>
      <c r="I22" s="54"/>
      <c r="J22" s="50"/>
      <c r="K22" s="55"/>
    </row>
    <row r="23" spans="1:17" ht="13.5" thickBot="1" x14ac:dyDescent="0.25">
      <c r="A23" s="2" t="s">
        <v>27</v>
      </c>
      <c r="B23" s="3" t="s">
        <v>5</v>
      </c>
      <c r="C23" s="3" t="s">
        <v>28</v>
      </c>
      <c r="D23" s="3" t="s">
        <v>24</v>
      </c>
      <c r="E23" s="3" t="s">
        <v>146</v>
      </c>
      <c r="F23" s="3"/>
      <c r="G23" s="3" t="s">
        <v>29</v>
      </c>
      <c r="H23" s="3" t="s">
        <v>153</v>
      </c>
      <c r="I23" s="3" t="s">
        <v>154</v>
      </c>
      <c r="J23" s="3" t="s">
        <v>30</v>
      </c>
      <c r="K23" s="3" t="s">
        <v>31</v>
      </c>
      <c r="L23" s="3" t="s">
        <v>32</v>
      </c>
      <c r="M23" s="3" t="s">
        <v>43</v>
      </c>
      <c r="N23" s="3"/>
      <c r="O23" s="3" t="str">
        <f>'Авансовый отчет'!C28</f>
        <v>3. А/б, ж/б</v>
      </c>
      <c r="P23" s="3" t="str">
        <f>'Авансовый отчет'!C29</f>
        <v>4. Гостиница</v>
      </c>
      <c r="Q23" s="3" t="s">
        <v>442</v>
      </c>
    </row>
    <row r="24" spans="1:17" x14ac:dyDescent="0.2">
      <c r="A24" s="1" t="s">
        <v>422</v>
      </c>
      <c r="B24" s="1" t="s">
        <v>9</v>
      </c>
      <c r="C24" s="1">
        <v>1</v>
      </c>
      <c r="D24" s="28" t="s">
        <v>125</v>
      </c>
      <c r="E24" s="28" t="s">
        <v>147</v>
      </c>
      <c r="F24" s="1"/>
      <c r="G24" s="28">
        <v>700</v>
      </c>
      <c r="H24" s="28">
        <v>48100000</v>
      </c>
      <c r="I24" s="30">
        <v>48100010</v>
      </c>
      <c r="J24" s="1" t="s">
        <v>35</v>
      </c>
      <c r="K24" s="28" t="s">
        <v>1671</v>
      </c>
      <c r="L24" s="1" t="s">
        <v>38</v>
      </c>
      <c r="M24">
        <v>18</v>
      </c>
      <c r="N24" s="1">
        <v>1</v>
      </c>
      <c r="O24" s="1">
        <f>IF(AND(OR('Форма для заполнения'!$B6=$D$26,'Форма для заполнения'!$B6=$D$27),'Форма для заполнения'!$J6&lt;&gt;$E$26),'Форма для заполнения'!$M6,0)</f>
        <v>0</v>
      </c>
      <c r="P24" s="1">
        <f>IF(AND('Форма для заполнения'!$B6=$D$28,'Форма для заполнения'!$J6&lt;&gt;$E$26),'Форма для заполнения'!$M6,0)</f>
        <v>0</v>
      </c>
      <c r="Q24" s="1">
        <f>COUNTIF($D$36:$D$40,'Форма для заполнения'!$B6)</f>
        <v>0</v>
      </c>
    </row>
    <row r="25" spans="1:17" x14ac:dyDescent="0.2">
      <c r="A25" s="1" t="s">
        <v>433</v>
      </c>
      <c r="B25" s="1" t="s">
        <v>7</v>
      </c>
      <c r="C25" s="1">
        <v>2</v>
      </c>
      <c r="D25" s="28" t="s">
        <v>145</v>
      </c>
      <c r="E25" s="28" t="s">
        <v>331</v>
      </c>
      <c r="F25" s="1"/>
      <c r="G25" s="28">
        <v>2500</v>
      </c>
      <c r="H25" s="28">
        <v>48100000</v>
      </c>
      <c r="I25" s="30">
        <v>48100010</v>
      </c>
      <c r="J25" s="1" t="s">
        <v>36</v>
      </c>
      <c r="K25" s="28" t="s">
        <v>1670</v>
      </c>
      <c r="L25" s="1" t="s">
        <v>39</v>
      </c>
      <c r="N25" s="1">
        <v>2</v>
      </c>
      <c r="O25" s="1">
        <f>IF(AND(OR('Форма для заполнения'!$B7=$D$26,'Форма для заполнения'!$B7=$D$27),'Форма для заполнения'!$J7&lt;&gt;$E$26),'Форма для заполнения'!$M7,0)</f>
        <v>0</v>
      </c>
      <c r="P25" s="1">
        <f>IF(AND('Форма для заполнения'!$B7=$D$28,'Форма для заполнения'!$J7&lt;&gt;$E$26),'Форма для заполнения'!$M7,0)</f>
        <v>0</v>
      </c>
      <c r="Q25" s="1">
        <f>COUNTIF($D$36:$D$40,'Форма для заполнения'!$B7)</f>
        <v>0</v>
      </c>
    </row>
    <row r="26" spans="1:17" x14ac:dyDescent="0.2">
      <c r="A26" s="1" t="s">
        <v>1667</v>
      </c>
      <c r="B26" s="1" t="s">
        <v>8</v>
      </c>
      <c r="C26" s="1">
        <v>3</v>
      </c>
      <c r="D26" s="28" t="s">
        <v>127</v>
      </c>
      <c r="E26" s="28" t="s">
        <v>1683</v>
      </c>
      <c r="F26" s="1"/>
      <c r="G26" s="1"/>
      <c r="H26" s="28">
        <v>48100000</v>
      </c>
      <c r="I26" s="30">
        <v>48100010</v>
      </c>
      <c r="J26" s="1"/>
      <c r="K26" s="28"/>
      <c r="L26" s="1"/>
      <c r="N26" s="1">
        <v>3</v>
      </c>
      <c r="O26" s="1">
        <f>IF(AND(OR('Форма для заполнения'!$B8=$D$26,'Форма для заполнения'!$B8=$D$27),'Форма для заполнения'!$J8&lt;&gt;$E$26),'Форма для заполнения'!$M8,0)</f>
        <v>0</v>
      </c>
      <c r="P26" s="1">
        <f>IF(AND('Форма для заполнения'!$B8=$D$28,'Форма для заполнения'!$J8&lt;&gt;$E$26),'Форма для заполнения'!$M8,0)</f>
        <v>0</v>
      </c>
      <c r="Q26" s="1">
        <f>COUNTIF($D$36:$D$40,'Форма для заполнения'!$B8)</f>
        <v>0</v>
      </c>
    </row>
    <row r="27" spans="1:17" x14ac:dyDescent="0.2">
      <c r="A27" s="1" t="s">
        <v>136</v>
      </c>
      <c r="B27" s="1" t="s">
        <v>10</v>
      </c>
      <c r="C27" s="1">
        <v>4</v>
      </c>
      <c r="D27" s="28" t="s">
        <v>128</v>
      </c>
      <c r="E27" s="28" t="s">
        <v>1442</v>
      </c>
      <c r="F27" s="1"/>
      <c r="G27" s="1"/>
      <c r="H27" s="28">
        <v>48100000</v>
      </c>
      <c r="I27" s="30">
        <v>48100010</v>
      </c>
      <c r="J27" s="1"/>
      <c r="K27" s="1"/>
      <c r="L27" s="1"/>
      <c r="N27" s="1">
        <v>4</v>
      </c>
      <c r="O27" s="1">
        <f>IF(AND(OR('Форма для заполнения'!$B9=$D$26,'Форма для заполнения'!$B9=$D$27),'Форма для заполнения'!$J9&lt;&gt;$E$26),'Форма для заполнения'!$M9,0)</f>
        <v>0</v>
      </c>
      <c r="P27" s="1">
        <f>IF(AND('Форма для заполнения'!$B9=$D$28,'Форма для заполнения'!$J9&lt;&gt;$E$26),'Форма для заполнения'!$M9,0)</f>
        <v>0</v>
      </c>
      <c r="Q27" s="1">
        <f>COUNTIF($D$36:$D$40,'Форма для заполнения'!$B9)</f>
        <v>0</v>
      </c>
    </row>
    <row r="28" spans="1:17" x14ac:dyDescent="0.2">
      <c r="A28" s="1" t="s">
        <v>33</v>
      </c>
      <c r="B28" s="1" t="s">
        <v>6</v>
      </c>
      <c r="C28" s="1">
        <v>5</v>
      </c>
      <c r="D28" s="28" t="s">
        <v>129</v>
      </c>
      <c r="E28" s="28"/>
      <c r="F28" s="1"/>
      <c r="G28" s="1"/>
      <c r="H28" s="28">
        <v>48100000</v>
      </c>
      <c r="I28" s="30">
        <v>48100010</v>
      </c>
      <c r="J28" s="1"/>
      <c r="K28" s="1"/>
      <c r="L28" s="1"/>
      <c r="N28" s="1">
        <v>5</v>
      </c>
      <c r="O28" s="1">
        <f>IF(AND(OR('Форма для заполнения'!$B10=$D$26,'Форма для заполнения'!$B10=$D$27),'Форма для заполнения'!$J10&lt;&gt;$E$26),'Форма для заполнения'!$M10,0)</f>
        <v>0</v>
      </c>
      <c r="P28" s="1">
        <f>IF(AND('Форма для заполнения'!$B10=$D$28,'Форма для заполнения'!$J10&lt;&gt;$E$26),'Форма для заполнения'!$M10,0)</f>
        <v>0</v>
      </c>
      <c r="Q28" s="1">
        <f>COUNTIF($D$36:$D$40,'Форма для заполнения'!$B10)</f>
        <v>0</v>
      </c>
    </row>
    <row r="29" spans="1:17" x14ac:dyDescent="0.2">
      <c r="A29" s="1" t="s">
        <v>1666</v>
      </c>
      <c r="B29" s="1" t="s">
        <v>432</v>
      </c>
      <c r="C29" s="1">
        <v>6</v>
      </c>
      <c r="D29" s="28" t="s">
        <v>491</v>
      </c>
      <c r="E29" s="28"/>
      <c r="F29" s="1"/>
      <c r="G29" s="1"/>
      <c r="H29" s="28">
        <v>48100000</v>
      </c>
      <c r="I29" s="30">
        <v>48100010</v>
      </c>
      <c r="J29" s="1"/>
      <c r="K29" s="1"/>
      <c r="L29" s="1"/>
      <c r="N29" s="1">
        <v>6</v>
      </c>
      <c r="O29" s="1">
        <f>IF(AND(OR('Форма для заполнения'!$B11=$D$26,'Форма для заполнения'!$B11=$D$27),'Форма для заполнения'!$J11&lt;&gt;$E$26),'Форма для заполнения'!$M11,0)</f>
        <v>0</v>
      </c>
      <c r="P29" s="1">
        <f>IF(AND('Форма для заполнения'!$B11=$D$28,'Форма для заполнения'!$J11&lt;&gt;$E$26),'Форма для заполнения'!$M11,0)</f>
        <v>0</v>
      </c>
      <c r="Q29" s="1">
        <f>COUNTIF($D$36:$D$40,'Форма для заполнения'!$B11)</f>
        <v>0</v>
      </c>
    </row>
    <row r="30" spans="1:17" x14ac:dyDescent="0.2">
      <c r="A30" s="1"/>
      <c r="C30" s="1">
        <v>7</v>
      </c>
      <c r="D30" s="28" t="s">
        <v>492</v>
      </c>
      <c r="E30" s="28"/>
      <c r="F30" s="1"/>
      <c r="G30" s="1"/>
      <c r="H30" s="28">
        <v>48100000</v>
      </c>
      <c r="I30" s="30">
        <v>48100010</v>
      </c>
      <c r="J30" s="1"/>
      <c r="K30" s="1"/>
      <c r="L30" s="1"/>
      <c r="N30" s="1">
        <v>7</v>
      </c>
      <c r="O30" s="1">
        <f>IF(AND(OR('Форма для заполнения'!$B12=$D$26,'Форма для заполнения'!$B12=$D$27),'Форма для заполнения'!$J12&lt;&gt;$E$26),'Форма для заполнения'!$M12,0)</f>
        <v>0</v>
      </c>
      <c r="P30" s="1">
        <f>IF(AND('Форма для заполнения'!$B12=$D$28,'Форма для заполнения'!$J12&lt;&gt;$E$26),'Форма для заполнения'!$M12,0)</f>
        <v>0</v>
      </c>
      <c r="Q30" s="1">
        <f>COUNTIF($D$36:$D$40,'Форма для заполнения'!$B12)</f>
        <v>0</v>
      </c>
    </row>
    <row r="31" spans="1:17" x14ac:dyDescent="0.2">
      <c r="A31" s="1"/>
      <c r="C31" s="1">
        <v>8</v>
      </c>
      <c r="D31" s="28" t="s">
        <v>132</v>
      </c>
      <c r="E31" s="28"/>
      <c r="F31" s="1"/>
      <c r="G31" s="1"/>
      <c r="H31" s="28">
        <v>48100000</v>
      </c>
      <c r="I31" s="30">
        <v>48100010</v>
      </c>
      <c r="J31" s="1"/>
      <c r="K31" s="1"/>
      <c r="L31" s="1"/>
      <c r="N31" s="1">
        <v>8</v>
      </c>
      <c r="O31" s="1">
        <f>IF(AND(OR('Форма для заполнения'!$B13=$D$26,'Форма для заполнения'!$B13=$D$27),'Форма для заполнения'!$J13&lt;&gt;$E$26),'Форма для заполнения'!$M13,0)</f>
        <v>0</v>
      </c>
      <c r="P31" s="1">
        <f>IF(AND('Форма для заполнения'!$B13=$D$28,'Форма для заполнения'!$J13&lt;&gt;$E$26),'Форма для заполнения'!$M13,0)</f>
        <v>0</v>
      </c>
      <c r="Q31" s="1">
        <f>COUNTIF($D$36:$D$40,'Форма для заполнения'!$B13)</f>
        <v>0</v>
      </c>
    </row>
    <row r="32" spans="1:17" x14ac:dyDescent="0.2">
      <c r="C32" s="1">
        <v>9</v>
      </c>
      <c r="D32" s="28" t="s">
        <v>133</v>
      </c>
      <c r="E32" s="28"/>
      <c r="F32" s="1"/>
      <c r="G32" s="1"/>
      <c r="H32" s="28">
        <v>48100000</v>
      </c>
      <c r="I32" s="30">
        <v>48100010</v>
      </c>
      <c r="J32" s="1"/>
      <c r="K32" s="1"/>
      <c r="L32" s="1"/>
      <c r="N32" s="1">
        <v>9</v>
      </c>
      <c r="O32" s="1">
        <f>IF(AND(OR('Форма для заполнения'!$B14=$D$26,'Форма для заполнения'!$B14=$D$27),'Форма для заполнения'!$J14&lt;&gt;$E$26),'Форма для заполнения'!$M14,0)</f>
        <v>0</v>
      </c>
      <c r="P32" s="1">
        <f>IF(AND('Форма для заполнения'!$B14=$D$28,'Форма для заполнения'!$J14&lt;&gt;$E$26),'Форма для заполнения'!$M14,0)</f>
        <v>0</v>
      </c>
      <c r="Q32" s="1">
        <f>COUNTIF($D$36:$D$40,'Форма для заполнения'!$B14)</f>
        <v>0</v>
      </c>
    </row>
    <row r="33" spans="1:17" x14ac:dyDescent="0.2">
      <c r="C33" s="1">
        <v>10</v>
      </c>
      <c r="D33" s="28" t="s">
        <v>134</v>
      </c>
      <c r="E33" s="28"/>
      <c r="F33" s="1"/>
      <c r="G33" s="1"/>
      <c r="H33" s="28">
        <v>48100000</v>
      </c>
      <c r="I33" s="30">
        <v>48100010</v>
      </c>
      <c r="J33" s="1"/>
      <c r="K33" s="1"/>
      <c r="L33" s="1"/>
      <c r="N33" s="1">
        <v>10</v>
      </c>
      <c r="O33" s="1">
        <f>IF(AND(OR('Форма для заполнения'!$B15=$D$26,'Форма для заполнения'!$B15=$D$27),'Форма для заполнения'!$J15&lt;&gt;$E$26),'Форма для заполнения'!$M15,0)</f>
        <v>0</v>
      </c>
      <c r="P33" s="1">
        <f>IF(AND('Форма для заполнения'!$B15=$D$28,'Форма для заполнения'!$J15&lt;&gt;$E$26),'Форма для заполнения'!$M15,0)</f>
        <v>0</v>
      </c>
      <c r="Q33" s="1">
        <f>COUNTIF($D$36:$D$40,'Форма для заполнения'!$B15)</f>
        <v>0</v>
      </c>
    </row>
    <row r="34" spans="1:17" x14ac:dyDescent="0.2">
      <c r="C34" s="1">
        <v>11</v>
      </c>
      <c r="D34" s="29" t="s">
        <v>126</v>
      </c>
      <c r="E34" s="1"/>
      <c r="F34" s="1"/>
      <c r="G34" s="28">
        <v>500</v>
      </c>
      <c r="H34" s="29">
        <v>48100020</v>
      </c>
      <c r="I34" s="29">
        <v>48100020</v>
      </c>
      <c r="J34" s="1"/>
      <c r="K34" s="1"/>
      <c r="L34" s="1"/>
      <c r="N34" s="1">
        <v>11</v>
      </c>
      <c r="O34" s="1">
        <f>IF(AND(OR('Форма для заполнения'!$B16=$D$26,'Форма для заполнения'!$B16=$D$27),'Форма для заполнения'!$J16&lt;&gt;$E$26),'Форма для заполнения'!$M16,0)</f>
        <v>0</v>
      </c>
      <c r="P34" s="1">
        <f>IF(AND('Форма для заполнения'!$B16=$D$28,'Форма для заполнения'!$J16&lt;&gt;$E$26),'Форма для заполнения'!$M16,0)</f>
        <v>0</v>
      </c>
      <c r="Q34" s="1">
        <f>COUNTIF($D$36:$D$40,'Форма для заполнения'!$B16)</f>
        <v>0</v>
      </c>
    </row>
    <row r="35" spans="1:17" x14ac:dyDescent="0.2">
      <c r="C35" s="1"/>
      <c r="D35" s="30" t="s">
        <v>130</v>
      </c>
      <c r="E35" s="1"/>
      <c r="F35" s="1"/>
      <c r="G35" s="1"/>
      <c r="H35" s="30">
        <v>48100010</v>
      </c>
      <c r="I35" s="30">
        <v>48100010</v>
      </c>
      <c r="J35" s="1"/>
      <c r="K35" s="1"/>
      <c r="L35" s="1"/>
      <c r="N35" s="1">
        <v>12</v>
      </c>
      <c r="O35" s="1">
        <f>IF(AND(OR('Форма для заполнения'!$B17=$D$26,'Форма для заполнения'!$B17=$D$27),'Форма для заполнения'!$J17&lt;&gt;$E$26),'Форма для заполнения'!$M17,0)</f>
        <v>0</v>
      </c>
      <c r="P35" s="1">
        <f>IF(AND('Форма для заполнения'!$B17=$D$28,'Форма для заполнения'!$J17&lt;&gt;$E$26),'Форма для заполнения'!$M17,0)</f>
        <v>0</v>
      </c>
      <c r="Q35" s="1">
        <f>COUNTIF($D$36:$D$40,'Форма для заполнения'!$B17)</f>
        <v>0</v>
      </c>
    </row>
    <row r="36" spans="1:17" x14ac:dyDescent="0.2">
      <c r="A36" s="333" t="s">
        <v>1435</v>
      </c>
      <c r="B36" s="310"/>
      <c r="C36" s="1"/>
      <c r="D36" s="31" t="s">
        <v>131</v>
      </c>
      <c r="E36" s="1"/>
      <c r="F36" s="1"/>
      <c r="G36" s="1"/>
      <c r="H36" s="31">
        <v>48100030</v>
      </c>
      <c r="I36" s="31">
        <v>42900010</v>
      </c>
      <c r="N36" s="1">
        <v>13</v>
      </c>
      <c r="O36" s="1">
        <f>IF(AND(OR('Форма для заполнения'!$B18=$D$26,'Форма для заполнения'!$B18=$D$27),'Форма для заполнения'!$J18&lt;&gt;$E$26),'Форма для заполнения'!$M18,0)</f>
        <v>0</v>
      </c>
      <c r="P36" s="1">
        <f>IF(AND('Форма для заполнения'!$B18=$D$28,'Форма для заполнения'!$J18&lt;&gt;$E$26),'Форма для заполнения'!$M18,0)</f>
        <v>0</v>
      </c>
      <c r="Q36" s="1">
        <f>COUNTIF($D$36:$D$40,'Форма для заполнения'!$B18)</f>
        <v>0</v>
      </c>
    </row>
    <row r="37" spans="1:17" x14ac:dyDescent="0.2">
      <c r="A37" s="310" t="s">
        <v>1437</v>
      </c>
      <c r="B37" s="310">
        <v>1</v>
      </c>
      <c r="D37" s="31" t="s">
        <v>309</v>
      </c>
      <c r="E37" s="1"/>
      <c r="F37" s="1"/>
      <c r="G37" s="1"/>
      <c r="H37" s="31">
        <v>48100000</v>
      </c>
      <c r="I37" s="31">
        <v>48100010</v>
      </c>
      <c r="N37" s="1">
        <v>14</v>
      </c>
      <c r="O37" s="1">
        <f>IF(AND(OR('Форма для заполнения'!$B19=$D$26,'Форма для заполнения'!$B19=$D$27),'Форма для заполнения'!$J19&lt;&gt;$E$26),'Форма для заполнения'!$M19,0)</f>
        <v>0</v>
      </c>
      <c r="P37" s="1">
        <f>IF(AND('Форма для заполнения'!$B19=$D$28,'Форма для заполнения'!$J19&lt;&gt;$E$26),'Форма для заполнения'!$M19,0)</f>
        <v>0</v>
      </c>
      <c r="Q37" s="1">
        <f>COUNTIF($D$36:$D$40,'Форма для заполнения'!$B19)</f>
        <v>0</v>
      </c>
    </row>
    <row r="38" spans="1:17" x14ac:dyDescent="0.2">
      <c r="A38" s="310" t="s">
        <v>1439</v>
      </c>
      <c r="B38" s="310">
        <v>0</v>
      </c>
      <c r="D38" s="31" t="s">
        <v>136</v>
      </c>
      <c r="F38" s="1"/>
      <c r="H38" s="31">
        <v>42300010</v>
      </c>
      <c r="I38" s="31">
        <v>42900010</v>
      </c>
      <c r="N38" s="1">
        <v>15</v>
      </c>
      <c r="O38" s="1">
        <f>IF(AND(OR('Форма для заполнения'!$B20=$D$26,'Форма для заполнения'!$B20=$D$27),'Форма для заполнения'!$J20&lt;&gt;$E$26),'Форма для заполнения'!$M20,0)</f>
        <v>0</v>
      </c>
      <c r="P38" s="1">
        <f>IF(AND('Форма для заполнения'!$B20=$D$28,'Форма для заполнения'!$J20&lt;&gt;$E$26),'Форма для заполнения'!$M20,0)</f>
        <v>0</v>
      </c>
      <c r="Q38" s="1">
        <f>COUNTIF($D$36:$D$40,'Форма для заполнения'!$B20)</f>
        <v>0</v>
      </c>
    </row>
    <row r="39" spans="1:17" x14ac:dyDescent="0.2">
      <c r="D39" s="31" t="s">
        <v>490</v>
      </c>
      <c r="F39" s="1"/>
      <c r="H39" s="31">
        <v>41200000</v>
      </c>
      <c r="I39" s="31">
        <v>42900010</v>
      </c>
      <c r="N39" s="1">
        <v>16</v>
      </c>
      <c r="O39" s="1">
        <f>IF(AND(OR('Форма для заполнения'!$B21=$D$26,'Форма для заполнения'!$B21=$D$27),'Форма для заполнения'!$J21&lt;&gt;$E$26),'Форма для заполнения'!$M21,0)</f>
        <v>0</v>
      </c>
      <c r="P39" s="1">
        <f>IF(AND('Форма для заполнения'!$B21=$D$28,'Форма для заполнения'!$J21&lt;&gt;$E$26),'Форма для заполнения'!$M21,0)</f>
        <v>0</v>
      </c>
      <c r="Q39" s="1">
        <f>COUNTIF($D$36:$D$40,'Форма для заполнения'!$B21)</f>
        <v>0</v>
      </c>
    </row>
    <row r="40" spans="1:17" x14ac:dyDescent="0.2">
      <c r="D40" s="31" t="s">
        <v>489</v>
      </c>
      <c r="F40" s="1"/>
      <c r="H40" s="31">
        <v>48100000</v>
      </c>
      <c r="I40" s="31">
        <v>48100010</v>
      </c>
      <c r="K40" s="311" t="s">
        <v>557</v>
      </c>
      <c r="L40" s="314" t="s">
        <v>1434</v>
      </c>
      <c r="N40" s="1">
        <v>17</v>
      </c>
      <c r="O40" s="1">
        <f>IF(AND(OR('Форма для заполнения'!$B22=$D$26,'Форма для заполнения'!$B22=$D$27),'Форма для заполнения'!$J22&lt;&gt;$E$26),'Форма для заполнения'!$M22,0)</f>
        <v>0</v>
      </c>
      <c r="P40" s="1">
        <f>IF(AND('Форма для заполнения'!$B22=$D$28,'Форма для заполнения'!$J22&lt;&gt;$E$26),'Форма для заполнения'!$M22,0)</f>
        <v>0</v>
      </c>
      <c r="Q40" s="1">
        <f>COUNTIF($D$36:$D$40,'Форма для заполнения'!$B22)</f>
        <v>0</v>
      </c>
    </row>
    <row r="41" spans="1:17" x14ac:dyDescent="0.2">
      <c r="D41" s="36" t="s">
        <v>137</v>
      </c>
      <c r="F41" s="1"/>
      <c r="H41" s="36">
        <v>48300000</v>
      </c>
      <c r="I41" s="36">
        <v>42900010</v>
      </c>
      <c r="K41" s="312" t="s">
        <v>1436</v>
      </c>
      <c r="L41" s="313">
        <v>48100000</v>
      </c>
      <c r="N41" s="1">
        <v>18</v>
      </c>
      <c r="O41" s="1">
        <f>IF(AND(OR('Форма для заполнения'!$B23=$D$26,'Форма для заполнения'!$B23=$D$27),'Форма для заполнения'!$J23&lt;&gt;$E$26),'Форма для заполнения'!$M23,0)</f>
        <v>0</v>
      </c>
      <c r="P41" s="1">
        <f>IF(AND('Форма для заполнения'!$B23=$D$28,'Форма для заполнения'!$J23&lt;&gt;$E$26),'Форма для заполнения'!$M23,0)</f>
        <v>0</v>
      </c>
      <c r="Q41" s="1">
        <f>COUNTIF($D$36:$D$40,'Форма для заполнения'!$B23)</f>
        <v>0</v>
      </c>
    </row>
    <row r="42" spans="1:17" x14ac:dyDescent="0.2">
      <c r="A42" s="237" t="s">
        <v>563</v>
      </c>
      <c r="B42" s="237" t="s">
        <v>598</v>
      </c>
      <c r="C42" s="238" t="s">
        <v>599</v>
      </c>
      <c r="D42" s="36" t="s">
        <v>138</v>
      </c>
      <c r="F42" s="1"/>
      <c r="H42" s="36">
        <v>48300000</v>
      </c>
      <c r="I42" s="36">
        <v>42900010</v>
      </c>
      <c r="K42" s="312" t="s">
        <v>1438</v>
      </c>
      <c r="L42" s="313">
        <v>41200000</v>
      </c>
      <c r="N42" s="1">
        <v>19</v>
      </c>
      <c r="O42" s="1">
        <f>IF(AND(OR('Форма для заполнения'!$B24=$D$26,'Форма для заполнения'!$B24=$D$27),'Форма для заполнения'!$J24&lt;&gt;$E$26),'Форма для заполнения'!$M24,0)</f>
        <v>0</v>
      </c>
      <c r="P42" s="1">
        <f>IF(AND('Форма для заполнения'!$B24=$D$28,'Форма для заполнения'!$J24&lt;&gt;$E$26),'Форма для заполнения'!$M24,0)</f>
        <v>0</v>
      </c>
      <c r="Q42" s="1">
        <f>COUNTIF($D$36:$D$40,'Форма для заполнения'!$B24)</f>
        <v>0</v>
      </c>
    </row>
    <row r="43" spans="1:17" x14ac:dyDescent="0.2">
      <c r="A43" s="240" t="s">
        <v>606</v>
      </c>
      <c r="B43" s="241" t="s">
        <v>600</v>
      </c>
      <c r="C43" s="242">
        <v>0.18</v>
      </c>
      <c r="D43" s="36" t="s">
        <v>139</v>
      </c>
      <c r="F43" s="1"/>
      <c r="H43" s="36">
        <v>48300000</v>
      </c>
      <c r="I43" s="36">
        <v>42900010</v>
      </c>
      <c r="K43" s="312" t="s">
        <v>1440</v>
      </c>
      <c r="L43" s="313">
        <v>48300000</v>
      </c>
      <c r="N43" s="1">
        <v>20</v>
      </c>
      <c r="O43" s="1">
        <f>IF(AND(OR('Форма для заполнения'!$B25=$D$26,'Форма для заполнения'!$B25=$D$27),'Форма для заполнения'!$J25&lt;&gt;$E$26),'Форма для заполнения'!$M25,0)</f>
        <v>0</v>
      </c>
      <c r="P43" s="1">
        <f>IF(AND('Форма для заполнения'!$B25=$D$28,'Форма для заполнения'!$J25&lt;&gt;$E$26),'Форма для заполнения'!$M25,0)</f>
        <v>0</v>
      </c>
      <c r="Q43" s="1">
        <f>COUNTIF($D$36:$D$40,'Форма для заполнения'!$B25)</f>
        <v>0</v>
      </c>
    </row>
    <row r="44" spans="1:17" x14ac:dyDescent="0.2">
      <c r="A44" s="240" t="s">
        <v>607</v>
      </c>
      <c r="B44" s="241" t="s">
        <v>602</v>
      </c>
      <c r="C44" s="242">
        <v>0.13</v>
      </c>
      <c r="D44" s="378" t="s">
        <v>135</v>
      </c>
      <c r="E44" s="379"/>
      <c r="F44" s="380"/>
      <c r="G44" s="379"/>
      <c r="H44" s="378">
        <v>42900010</v>
      </c>
      <c r="I44" s="378">
        <v>42900010</v>
      </c>
      <c r="J44" s="379"/>
      <c r="K44" s="312" t="s">
        <v>1441</v>
      </c>
      <c r="L44" s="313">
        <v>48000000</v>
      </c>
      <c r="M44" s="379"/>
      <c r="N44" s="381" t="s">
        <v>29</v>
      </c>
      <c r="O44" s="382">
        <f>SUM(O24:O43)</f>
        <v>0</v>
      </c>
      <c r="P44" s="382">
        <f>SUM(P24:P43)</f>
        <v>0</v>
      </c>
      <c r="Q44" s="382"/>
    </row>
    <row r="45" spans="1:17" x14ac:dyDescent="0.2">
      <c r="A45" s="240" t="s">
        <v>601</v>
      </c>
      <c r="B45" s="241" t="s">
        <v>608</v>
      </c>
      <c r="C45" s="242">
        <v>0.05</v>
      </c>
      <c r="D45" s="34" t="s">
        <v>140</v>
      </c>
      <c r="F45" s="1"/>
      <c r="H45" s="34">
        <v>42900010</v>
      </c>
      <c r="I45" s="34">
        <v>42900010</v>
      </c>
    </row>
    <row r="46" spans="1:17" x14ac:dyDescent="0.2">
      <c r="A46" s="240" t="s">
        <v>603</v>
      </c>
      <c r="B46" s="241" t="s">
        <v>604</v>
      </c>
      <c r="C46" s="242">
        <v>0</v>
      </c>
      <c r="D46" s="34" t="s">
        <v>141</v>
      </c>
      <c r="F46" s="1"/>
      <c r="H46" s="34">
        <v>42900010</v>
      </c>
      <c r="I46" s="34">
        <v>42900010</v>
      </c>
    </row>
    <row r="47" spans="1:17" x14ac:dyDescent="0.2">
      <c r="A47" s="240" t="s">
        <v>605</v>
      </c>
      <c r="B47" s="241" t="s">
        <v>604</v>
      </c>
      <c r="C47" s="242">
        <v>0</v>
      </c>
      <c r="D47" s="34" t="s">
        <v>142</v>
      </c>
      <c r="F47" s="1"/>
      <c r="H47" s="34">
        <v>42900010</v>
      </c>
      <c r="I47" s="34">
        <v>42900010</v>
      </c>
    </row>
    <row r="48" spans="1:17" x14ac:dyDescent="0.2">
      <c r="D48" s="34" t="s">
        <v>143</v>
      </c>
      <c r="F48" s="1"/>
      <c r="H48" s="34">
        <v>42900010</v>
      </c>
      <c r="I48" s="34">
        <v>42900010</v>
      </c>
    </row>
    <row r="49" spans="1:9" x14ac:dyDescent="0.2">
      <c r="D49" s="34" t="s">
        <v>144</v>
      </c>
      <c r="F49" s="1"/>
      <c r="H49" s="34">
        <v>42900010</v>
      </c>
      <c r="I49" s="34">
        <v>42900010</v>
      </c>
    </row>
    <row r="50" spans="1:9" x14ac:dyDescent="0.2">
      <c r="D50" s="34" t="s">
        <v>413</v>
      </c>
      <c r="F50" s="1"/>
      <c r="H50" s="34">
        <v>46500000</v>
      </c>
      <c r="I50" s="34">
        <v>42900010</v>
      </c>
    </row>
    <row r="51" spans="1:9" x14ac:dyDescent="0.2">
      <c r="D51" s="35" t="s">
        <v>34</v>
      </c>
      <c r="F51" s="1"/>
      <c r="H51" s="35">
        <v>48000000</v>
      </c>
      <c r="I51" s="35">
        <v>48100010</v>
      </c>
    </row>
    <row r="52" spans="1:9" x14ac:dyDescent="0.2">
      <c r="A52" s="237" t="s">
        <v>559</v>
      </c>
      <c r="B52" s="238" t="s">
        <v>591</v>
      </c>
      <c r="D52" s="35" t="s">
        <v>150</v>
      </c>
      <c r="F52" s="1"/>
      <c r="H52" s="35">
        <v>48000000</v>
      </c>
      <c r="I52" s="35">
        <v>48100010</v>
      </c>
    </row>
    <row r="53" spans="1:9" x14ac:dyDescent="0.2">
      <c r="A53" s="239" t="s">
        <v>592</v>
      </c>
      <c r="B53" s="239">
        <v>1000</v>
      </c>
      <c r="D53" s="32" t="s">
        <v>33</v>
      </c>
      <c r="E53" s="28" t="s">
        <v>331</v>
      </c>
      <c r="F53" s="1"/>
      <c r="H53" s="32">
        <v>48950000</v>
      </c>
      <c r="I53" s="28">
        <v>48950010</v>
      </c>
    </row>
    <row r="54" spans="1:9" x14ac:dyDescent="0.2">
      <c r="A54" s="239" t="s">
        <v>593</v>
      </c>
      <c r="B54" s="239">
        <v>2000</v>
      </c>
      <c r="D54" s="32" t="s">
        <v>433</v>
      </c>
      <c r="E54" s="28" t="s">
        <v>331</v>
      </c>
      <c r="F54" s="1"/>
      <c r="H54" s="32">
        <v>48950010</v>
      </c>
      <c r="I54" s="28">
        <v>48950010</v>
      </c>
    </row>
    <row r="55" spans="1:9" x14ac:dyDescent="0.2">
      <c r="A55" s="239" t="s">
        <v>594</v>
      </c>
      <c r="B55" s="239">
        <v>3000</v>
      </c>
      <c r="D55" s="33" t="s">
        <v>332</v>
      </c>
      <c r="F55" s="1"/>
      <c r="H55" s="33">
        <v>48950010</v>
      </c>
      <c r="I55" s="33">
        <v>48950010</v>
      </c>
    </row>
    <row r="56" spans="1:9" x14ac:dyDescent="0.2">
      <c r="A56" s="239" t="s">
        <v>595</v>
      </c>
      <c r="B56" s="239">
        <v>4000</v>
      </c>
      <c r="D56" s="28" t="s">
        <v>1668</v>
      </c>
      <c r="F56" s="1"/>
      <c r="G56" s="28">
        <v>700</v>
      </c>
      <c r="H56" s="28">
        <v>48100000</v>
      </c>
      <c r="I56" s="30">
        <v>48100010</v>
      </c>
    </row>
    <row r="57" spans="1:9" x14ac:dyDescent="0.2">
      <c r="A57" s="239" t="s">
        <v>596</v>
      </c>
      <c r="B57" s="239">
        <v>5000</v>
      </c>
      <c r="D57" s="28" t="s">
        <v>1669</v>
      </c>
      <c r="G57" s="28">
        <v>1200</v>
      </c>
      <c r="H57" s="28">
        <v>48100000</v>
      </c>
      <c r="I57" s="30">
        <v>48100010</v>
      </c>
    </row>
    <row r="58" spans="1:9" x14ac:dyDescent="0.2">
      <c r="A58" s="239" t="s">
        <v>597</v>
      </c>
      <c r="B58" s="239">
        <v>6000</v>
      </c>
      <c r="D58" t="s">
        <v>428</v>
      </c>
      <c r="H58">
        <v>45100010</v>
      </c>
      <c r="I58">
        <v>45100010</v>
      </c>
    </row>
  </sheetData>
  <sheetProtection password="EF17" sheet="1" objects="1" scenarios="1" formatCells="0" formatColumns="0" formatRows="0"/>
  <protectedRanges>
    <protectedRange sqref="B2:I22" name="Диапазон2"/>
  </protectedRanges>
  <sortState xmlns:xlrd2="http://schemas.microsoft.com/office/spreadsheetml/2017/richdata2" ref="A25:A30">
    <sortCondition ref="A24"/>
  </sortState>
  <customSheetViews>
    <customSheetView guid="{0047C449-E5B1-4E19-878D-F58E6F8A4677}" hiddenRows="1" hiddenColumns="1" state="hidden" topLeftCell="B13">
      <selection activeCell="E32" sqref="E32"/>
      <pageMargins left="0.7" right="0.7" top="0.75" bottom="0.75" header="0.3" footer="0.3"/>
      <pageSetup paperSize="9" orientation="portrait" r:id="rId1"/>
    </customSheetView>
  </customSheetViews>
  <dataValidations count="5">
    <dataValidation allowBlank="1" showInputMessage="1" showErrorMessage="1" promptTitle="Дата документа" sqref="C2:C21" xr:uid="{00000000-0002-0000-0400-000000000000}"/>
    <dataValidation type="list" allowBlank="1" showInputMessage="1" sqref="F2:F22" xr:uid="{00000000-0002-0000-0400-000001000000}">
      <formula1>$E$24</formula1>
    </dataValidation>
    <dataValidation type="list" allowBlank="1" sqref="G2:G22" xr:uid="{00000000-0002-0000-0400-000002000000}">
      <formula1>$B$24:$B$28</formula1>
    </dataValidation>
    <dataValidation type="list" allowBlank="1" showInputMessage="1" errorTitle="Выберите из списка" error="Произвольный ввод запрещен" promptTitle="Вид расходов" prompt="Выберите из списка" sqref="B2:B21" xr:uid="{00000000-0002-0000-0400-000003000000}">
      <formula1>$D$24:$D$53</formula1>
    </dataValidation>
    <dataValidation allowBlank="1" showInputMessage="1" errorTitle="Выберите из списка" error="Произвольный ввод запрещен" promptTitle="Вид расходов" prompt="Выберите из списка" sqref="B22" xr:uid="{00000000-0002-0000-0400-000004000000}"/>
  </dataValidation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92D050"/>
    <pageSetUpPr fitToPage="1"/>
  </sheetPr>
  <dimension ref="A1:U61"/>
  <sheetViews>
    <sheetView showGridLines="0" zoomScale="85" zoomScaleNormal="85" workbookViewId="0">
      <pane ySplit="14" topLeftCell="A15" activePane="bottomLeft" state="frozen"/>
      <selection activeCell="E24" sqref="E24"/>
      <selection pane="bottomLeft" activeCell="B46" sqref="B46"/>
    </sheetView>
  </sheetViews>
  <sheetFormatPr defaultColWidth="12.5703125" defaultRowHeight="14.25" x14ac:dyDescent="0.2"/>
  <cols>
    <col min="1" max="1" width="5.7109375" style="139" customWidth="1"/>
    <col min="2" max="2" width="12.5703125" style="139"/>
    <col min="3" max="3" width="29.28515625" style="139" customWidth="1"/>
    <col min="4" max="4" width="33.28515625" style="139" customWidth="1"/>
    <col min="5" max="5" width="27.28515625" style="139" customWidth="1"/>
    <col min="6" max="7" width="12.7109375" style="139" customWidth="1"/>
    <col min="8" max="8" width="15.5703125" style="139" customWidth="1"/>
    <col min="9" max="9" width="17.7109375" style="234" customWidth="1"/>
    <col min="10" max="10" width="6.28515625" style="235" customWidth="1"/>
    <col min="11" max="11" width="6.42578125" style="235" customWidth="1"/>
    <col min="12" max="14" width="15.42578125" style="235" customWidth="1"/>
    <col min="15" max="15" width="15.28515625" style="235" customWidth="1"/>
    <col min="16" max="16" width="11.5703125" style="139" customWidth="1"/>
    <col min="17" max="18" width="9.28515625" style="139" customWidth="1"/>
    <col min="19" max="19" width="19.28515625" style="139" customWidth="1"/>
    <col min="20" max="21" width="12.5703125" style="139" customWidth="1"/>
    <col min="22" max="16384" width="12.5703125" style="253"/>
  </cols>
  <sheetData>
    <row r="1" spans="1:21" ht="37.5" customHeight="1" thickBot="1" x14ac:dyDescent="0.25">
      <c r="A1" s="467" t="s">
        <v>546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9"/>
      <c r="R1" s="470"/>
    </row>
    <row r="2" spans="1:21" ht="15.75" x14ac:dyDescent="0.2">
      <c r="A2" s="140"/>
      <c r="B2" s="141"/>
      <c r="C2" s="141"/>
      <c r="D2" s="141"/>
      <c r="E2" s="141"/>
      <c r="F2" s="141"/>
      <c r="G2" s="141"/>
      <c r="H2" s="141"/>
      <c r="I2" s="142"/>
      <c r="J2" s="143"/>
      <c r="K2" s="143"/>
      <c r="L2" s="143"/>
      <c r="M2" s="143"/>
      <c r="N2" s="143"/>
      <c r="O2" s="143"/>
      <c r="P2" s="141"/>
      <c r="Q2" s="144"/>
      <c r="R2" s="145"/>
      <c r="S2" s="146"/>
      <c r="T2" s="146"/>
    </row>
    <row r="3" spans="1:21" ht="15" x14ac:dyDescent="0.2">
      <c r="A3" s="147"/>
      <c r="B3" s="148"/>
      <c r="C3" s="148"/>
      <c r="D3" s="149"/>
      <c r="E3" s="148"/>
      <c r="F3" s="149"/>
      <c r="G3" s="149"/>
      <c r="H3" s="150"/>
      <c r="I3" s="151"/>
      <c r="J3" s="152"/>
      <c r="K3" s="152"/>
      <c r="L3" s="152"/>
      <c r="M3" s="153"/>
      <c r="N3" s="153"/>
      <c r="O3" s="153"/>
      <c r="P3" s="148"/>
      <c r="Q3" s="148"/>
      <c r="R3" s="154"/>
      <c r="S3" s="146"/>
      <c r="T3" s="146"/>
    </row>
    <row r="4" spans="1:21" ht="18" customHeight="1" x14ac:dyDescent="0.2">
      <c r="A4" s="155"/>
      <c r="B4" s="452" t="s">
        <v>547</v>
      </c>
      <c r="C4" s="453"/>
      <c r="D4" s="471">
        <f>IF('Форма для заполнения'!C2&lt;&gt;"",'Форма для заполнения'!C2,"")</f>
        <v>44102</v>
      </c>
      <c r="E4" s="472"/>
      <c r="F4" s="460" t="s">
        <v>548</v>
      </c>
      <c r="G4" s="461"/>
      <c r="H4" s="473" t="str">
        <f>IF(D5&lt;&gt;"",126,"")</f>
        <v/>
      </c>
      <c r="I4" s="474"/>
      <c r="J4" s="474"/>
      <c r="K4" s="474"/>
      <c r="L4" s="475"/>
      <c r="M4" s="159"/>
      <c r="N4" s="476"/>
      <c r="O4" s="476"/>
      <c r="P4" s="476"/>
      <c r="Q4" s="476"/>
      <c r="R4" s="156"/>
      <c r="S4" s="157"/>
      <c r="T4" s="157"/>
    </row>
    <row r="5" spans="1:21" ht="18" customHeight="1" x14ac:dyDescent="0.2">
      <c r="A5" s="155"/>
      <c r="B5" s="452" t="s">
        <v>549</v>
      </c>
      <c r="C5" s="453"/>
      <c r="D5" s="454" t="str">
        <f>IF('Форма для заполнения'!D2&lt;&gt;"",'Форма для заполнения'!D2,"")</f>
        <v/>
      </c>
      <c r="E5" s="455"/>
      <c r="F5" s="460" t="s">
        <v>550</v>
      </c>
      <c r="G5" s="461"/>
      <c r="H5" s="481" t="str">
        <f>IFERROR(IF(VLOOKUP($D$5,'Список работников'!B:D,3,0)=0,"",VLOOKUP($D$5,'Список работников'!B:D,3,0)),"")</f>
        <v/>
      </c>
      <c r="I5" s="482"/>
      <c r="J5" s="482"/>
      <c r="K5" s="482"/>
      <c r="L5" s="483"/>
      <c r="M5" s="159"/>
      <c r="N5" s="466"/>
      <c r="O5" s="466"/>
      <c r="P5" s="466"/>
      <c r="Q5" s="466"/>
      <c r="R5" s="156"/>
      <c r="S5" s="157"/>
      <c r="T5" s="157"/>
    </row>
    <row r="6" spans="1:21" ht="18" customHeight="1" x14ac:dyDescent="0.2">
      <c r="A6" s="155"/>
      <c r="B6" s="452" t="s">
        <v>686</v>
      </c>
      <c r="C6" s="453"/>
      <c r="D6" s="454" t="str">
        <f>IFERROR(IF(VLOOKUP($D$5,'Список работников'!B:G,6,0)=0,"",VLOOKUP($D$5,'Список работников'!B:G,6,0)),"")</f>
        <v/>
      </c>
      <c r="E6" s="455"/>
      <c r="F6" s="452" t="s">
        <v>551</v>
      </c>
      <c r="G6" s="477"/>
      <c r="H6" s="478" t="str">
        <f>IF('Форма для заполнения'!E2&lt;&gt;"",'Форма для заполнения'!E2,"")</f>
        <v/>
      </c>
      <c r="I6" s="479"/>
      <c r="J6" s="479"/>
      <c r="K6" s="479"/>
      <c r="L6" s="480"/>
      <c r="M6" s="159"/>
      <c r="N6" s="459"/>
      <c r="O6" s="459"/>
      <c r="P6" s="459"/>
      <c r="Q6" s="459"/>
      <c r="R6" s="156"/>
      <c r="S6" s="157"/>
      <c r="T6" s="157"/>
    </row>
    <row r="7" spans="1:21" ht="18" customHeight="1" x14ac:dyDescent="0.2">
      <c r="A7" s="155"/>
      <c r="B7" s="452" t="s">
        <v>552</v>
      </c>
      <c r="C7" s="453"/>
      <c r="D7" s="454" t="str">
        <f>IFERROR(IF(VLOOKUP($D$5,'Список работников'!B:K,7,0)=0,"",VLOOKUP($D$5,'Список работников'!B:K,7,0)),"")</f>
        <v/>
      </c>
      <c r="E7" s="455"/>
      <c r="F7" s="456" t="s">
        <v>553</v>
      </c>
      <c r="G7" s="457"/>
      <c r="H7" s="458" t="str">
        <f t="shared" ref="H7" si="0">RIGHT(YEAR(D4),2)&amp;IF(MONTH(D4)&lt;10,"0","")&amp;MONTH(D4)&amp;IF(DAY(D4)&lt;10,"0","")&amp;DAY(D4)&amp;TRIM(D6)</f>
        <v>200928</v>
      </c>
      <c r="I7" s="458"/>
      <c r="J7" s="458"/>
      <c r="K7" s="458"/>
      <c r="L7" s="458"/>
      <c r="M7" s="159"/>
      <c r="N7" s="459"/>
      <c r="O7" s="459"/>
      <c r="P7" s="459"/>
      <c r="Q7" s="459"/>
      <c r="R7" s="156"/>
      <c r="S7" s="157"/>
      <c r="T7" s="157"/>
    </row>
    <row r="8" spans="1:21" ht="18" customHeight="1" x14ac:dyDescent="0.2">
      <c r="A8" s="155"/>
      <c r="B8" s="452" t="s">
        <v>687</v>
      </c>
      <c r="C8" s="453"/>
      <c r="D8" s="454" t="str">
        <f>IFERROR(IF(VLOOKUP($D$5,'Список работников'!B:I,8,0)=0,"",VLOOKUP($D$5,'Список работников'!B:I,8,0)),"")</f>
        <v/>
      </c>
      <c r="E8" s="455"/>
      <c r="F8" s="460" t="s">
        <v>554</v>
      </c>
      <c r="G8" s="461"/>
      <c r="H8" s="458" t="str">
        <f>'Авансовый отчет'!F17</f>
        <v/>
      </c>
      <c r="I8" s="458"/>
      <c r="J8" s="458"/>
      <c r="K8" s="458"/>
      <c r="L8" s="458"/>
      <c r="M8" s="159"/>
      <c r="N8" s="459"/>
      <c r="O8" s="459"/>
      <c r="P8" s="459"/>
      <c r="Q8" s="459"/>
      <c r="R8" s="156"/>
      <c r="S8" s="157"/>
      <c r="T8" s="157"/>
    </row>
    <row r="9" spans="1:21" ht="15.75" x14ac:dyDescent="0.2">
      <c r="A9" s="155"/>
      <c r="B9" s="268" t="s">
        <v>688</v>
      </c>
      <c r="C9" s="269"/>
      <c r="D9" s="294" t="s">
        <v>689</v>
      </c>
      <c r="E9" s="270"/>
      <c r="F9" s="271"/>
      <c r="G9" s="272"/>
      <c r="H9" s="273"/>
      <c r="I9" s="274"/>
      <c r="J9" s="275"/>
      <c r="K9" s="295"/>
      <c r="L9" s="295" t="str">
        <f>IFERROR(VLOOKUP(D7,'Список работников'!I:L,4,0),"")</f>
        <v/>
      </c>
      <c r="M9" s="164"/>
      <c r="N9" s="164"/>
      <c r="O9" s="164"/>
      <c r="P9" s="165"/>
      <c r="Q9" s="165"/>
      <c r="R9" s="156"/>
      <c r="S9" s="157"/>
      <c r="T9" s="157"/>
    </row>
    <row r="10" spans="1:21" ht="15" hidden="1" customHeight="1" x14ac:dyDescent="0.2">
      <c r="A10" s="155"/>
      <c r="B10" s="158"/>
      <c r="C10" s="159"/>
      <c r="D10" s="158"/>
      <c r="E10" s="160"/>
      <c r="F10" s="160"/>
      <c r="G10" s="161"/>
      <c r="H10" s="162"/>
      <c r="I10" s="163"/>
      <c r="J10" s="164"/>
      <c r="K10" s="164"/>
      <c r="L10" s="164"/>
      <c r="M10" s="164"/>
      <c r="N10" s="164"/>
      <c r="O10" s="164"/>
      <c r="P10" s="165"/>
      <c r="Q10" s="165"/>
      <c r="R10" s="156"/>
      <c r="S10" s="157"/>
      <c r="T10" s="157"/>
    </row>
    <row r="11" spans="1:21" ht="15" hidden="1" customHeight="1" x14ac:dyDescent="0.2">
      <c r="A11" s="155"/>
      <c r="B11" s="158"/>
      <c r="C11" s="159"/>
      <c r="D11" s="158"/>
      <c r="E11" s="160"/>
      <c r="F11" s="160"/>
      <c r="G11" s="161"/>
      <c r="H11" s="162"/>
      <c r="I11" s="163"/>
      <c r="J11" s="164"/>
      <c r="K11" s="164"/>
      <c r="L11" s="164"/>
      <c r="M11" s="164"/>
      <c r="N11" s="164"/>
      <c r="O11" s="164"/>
      <c r="P11" s="165"/>
      <c r="Q11" s="165"/>
      <c r="R11" s="156"/>
      <c r="S11" s="157"/>
      <c r="T11" s="157"/>
    </row>
    <row r="12" spans="1:21" ht="15" hidden="1" customHeight="1" x14ac:dyDescent="0.2">
      <c r="A12" s="155"/>
      <c r="B12" s="158"/>
      <c r="C12" s="159"/>
      <c r="D12" s="158"/>
      <c r="E12" s="160"/>
      <c r="F12" s="160"/>
      <c r="G12" s="161"/>
      <c r="H12" s="162"/>
      <c r="I12" s="163"/>
      <c r="J12" s="164"/>
      <c r="K12" s="164"/>
      <c r="L12" s="164"/>
      <c r="M12" s="164"/>
      <c r="N12" s="164"/>
      <c r="O12" s="164"/>
      <c r="P12" s="165"/>
      <c r="Q12" s="165"/>
      <c r="R12" s="156"/>
      <c r="S12" s="157"/>
      <c r="T12" s="157"/>
    </row>
    <row r="13" spans="1:21" s="277" customFormat="1" ht="16.5" thickBot="1" x14ac:dyDescent="0.3">
      <c r="A13" s="278"/>
      <c r="B13" s="279"/>
      <c r="C13" s="280"/>
      <c r="D13" s="279"/>
      <c r="E13" s="279"/>
      <c r="F13" s="279"/>
      <c r="G13" s="279"/>
      <c r="H13" s="283"/>
      <c r="I13" s="281"/>
      <c r="J13" s="281"/>
      <c r="K13" s="282"/>
      <c r="L13" s="276"/>
    </row>
    <row r="14" spans="1:21" ht="15.75" thickBot="1" x14ac:dyDescent="0.25">
      <c r="A14" s="166" t="s">
        <v>555</v>
      </c>
      <c r="B14" s="167" t="s">
        <v>556</v>
      </c>
      <c r="C14" s="168" t="s">
        <v>557</v>
      </c>
      <c r="D14" s="167" t="s">
        <v>558</v>
      </c>
      <c r="E14" s="168" t="s">
        <v>559</v>
      </c>
      <c r="F14" s="169" t="s">
        <v>560</v>
      </c>
      <c r="G14" s="169" t="s">
        <v>561</v>
      </c>
      <c r="H14" s="170" t="s">
        <v>562</v>
      </c>
      <c r="I14" s="168" t="s">
        <v>563</v>
      </c>
      <c r="J14" s="171" t="s">
        <v>564</v>
      </c>
      <c r="K14" s="172" t="s">
        <v>565</v>
      </c>
      <c r="L14" s="172" t="s">
        <v>566</v>
      </c>
      <c r="M14" s="172" t="s">
        <v>567</v>
      </c>
      <c r="N14" s="173" t="s">
        <v>568</v>
      </c>
      <c r="O14" s="172" t="s">
        <v>569</v>
      </c>
      <c r="P14" s="174" t="s">
        <v>570</v>
      </c>
      <c r="Q14" s="173" t="s">
        <v>571</v>
      </c>
      <c r="R14" s="175" t="s">
        <v>572</v>
      </c>
      <c r="S14" s="176" t="s">
        <v>573</v>
      </c>
      <c r="T14" s="177" t="s">
        <v>574</v>
      </c>
      <c r="U14" s="177" t="s">
        <v>575</v>
      </c>
    </row>
    <row r="15" spans="1:21" s="284" customFormat="1" ht="15" x14ac:dyDescent="0.2">
      <c r="A15" s="315">
        <v>1</v>
      </c>
      <c r="B15" s="316"/>
      <c r="C15" s="317" t="s">
        <v>1432</v>
      </c>
      <c r="D15" s="317"/>
      <c r="E15" s="318"/>
      <c r="F15" s="318">
        <v>16120020</v>
      </c>
      <c r="G15" s="319" t="str">
        <f>IF(ISBLANK(E15)," ",VLOOKUP(E15,Cost_Center,2,FALSE))</f>
        <v xml:space="preserve"> </v>
      </c>
      <c r="H15" s="320"/>
      <c r="I15" s="319"/>
      <c r="J15" s="321"/>
      <c r="K15" s="322"/>
      <c r="L15" s="323"/>
      <c r="M15" s="323">
        <f>P48</f>
        <v>0</v>
      </c>
      <c r="N15" s="324">
        <f t="shared" ref="N15:N16" si="1">IF(ISBLANK(M15)," ",ROUND(M15/(1+T15),2))</f>
        <v>0</v>
      </c>
      <c r="O15" s="324"/>
      <c r="P15" s="325"/>
      <c r="Q15" s="326"/>
      <c r="R15" s="327"/>
      <c r="S15" s="328"/>
      <c r="T15" s="329"/>
      <c r="U15" s="329"/>
    </row>
    <row r="16" spans="1:21" s="284" customFormat="1" ht="15" x14ac:dyDescent="0.2">
      <c r="A16" s="315">
        <v>2</v>
      </c>
      <c r="B16" s="316"/>
      <c r="C16" s="317" t="s">
        <v>1433</v>
      </c>
      <c r="D16" s="317"/>
      <c r="E16" s="318"/>
      <c r="F16" s="318">
        <v>18100130</v>
      </c>
      <c r="G16" s="319" t="str">
        <f>IF(ISBLANK(E16)," ",VLOOKUP(E16,Cost_Center,2,FALSE))</f>
        <v xml:space="preserve"> </v>
      </c>
      <c r="H16" s="320"/>
      <c r="I16" s="319"/>
      <c r="J16" s="321"/>
      <c r="K16" s="322"/>
      <c r="L16" s="323"/>
      <c r="M16" s="323">
        <f>P47</f>
        <v>0</v>
      </c>
      <c r="N16" s="324">
        <f t="shared" si="1"/>
        <v>0</v>
      </c>
      <c r="O16" s="324"/>
      <c r="P16" s="325"/>
      <c r="Q16" s="326"/>
      <c r="R16" s="327"/>
      <c r="S16" s="328"/>
      <c r="T16" s="329"/>
      <c r="U16" s="329"/>
    </row>
    <row r="17" spans="1:21" ht="15" x14ac:dyDescent="0.2">
      <c r="A17" s="178">
        <v>3</v>
      </c>
      <c r="B17" s="243" t="str">
        <f>IF('Форма для заполнения'!C6&lt;&gt;"",'Форма для заполнения'!C6,"")</f>
        <v/>
      </c>
      <c r="C17" s="244" t="str">
        <f>IF('Форма для заполнения'!B6&lt;&gt;"",'Форма для заполнения'!B6,"")</f>
        <v/>
      </c>
      <c r="D17" s="245" t="str">
        <f>IF('Форма для заполнения'!E6&lt;&gt;"",'Форма для заполнения'!E6,"")</f>
        <v/>
      </c>
      <c r="E17" s="244" t="str">
        <f>IF(B17="","",'Авансовый отчет'!$I$20)</f>
        <v/>
      </c>
      <c r="F17" s="179" t="str">
        <f>IF('Форма для заполнения'!N6&lt;&gt;"",'Форма для заполнения'!N6,"")</f>
        <v/>
      </c>
      <c r="G17" s="180" t="str">
        <f>IF('Форма для заполнения'!G6&lt;&gt;"",'Форма для заполнения'!G6,"")</f>
        <v/>
      </c>
      <c r="H17" s="246" t="str">
        <f>IF('Форма для заполнения'!B6&lt;&gt;"",TRIM('Форма для заполнения'!O6&amp;" "&amp;'Форма для заполнения'!F6),"")</f>
        <v/>
      </c>
      <c r="I17" s="244"/>
      <c r="J17" s="181" t="str">
        <f t="shared" ref="J17:J44" si="2">IF(ISBLANK(I17),"",VLOOKUP(I17,TaxCodeTable,2,FALSE))</f>
        <v/>
      </c>
      <c r="K17" s="247" t="str">
        <f t="shared" ref="K17:K44" si="3">IF(B17="","","RUB")</f>
        <v/>
      </c>
      <c r="L17" s="248"/>
      <c r="M17" s="248" t="str">
        <f>IF('Форма для заполнения'!M6="","",ROUND('Форма для заполнения'!M6,2))</f>
        <v/>
      </c>
      <c r="N17" s="182" t="str">
        <f>IFERROR(IF(ISBLANK(M17),"",ROUND(M17/(1+T17),2)),"")</f>
        <v/>
      </c>
      <c r="O17" s="248"/>
      <c r="P17" s="249"/>
      <c r="Q17" s="183" t="str">
        <f>IF(C17="","",IF(ISBLANK(L17),1,M17/L17))</f>
        <v/>
      </c>
      <c r="R17" s="184" t="str">
        <f>IF(C17="","",IF(ISBLANK(L17),1,L17/M17))</f>
        <v/>
      </c>
      <c r="S17" s="330" t="str">
        <f t="shared" ref="S17:S44" si="4">_xlfn.IFNA(IF(VLOOKUP(P17,YesNoTable,2,FALSE),((VLOOKUP(P17,YesNoTable,2,FALSE))*M17)-O17,((VLOOKUP(P17,YesNoTable,2,FALSE))*M17)),"")</f>
        <v/>
      </c>
      <c r="T17" s="331" t="str">
        <f t="shared" ref="T17:T44" si="5">IF(ISBLANK(I17)," ",VLOOKUP(J17,TaxCodeTable,3,FALSE))</f>
        <v xml:space="preserve"> </v>
      </c>
      <c r="U17" s="331" t="str">
        <f>IF(N17=""," ",M17-N17)</f>
        <v xml:space="preserve"> </v>
      </c>
    </row>
    <row r="18" spans="1:21" ht="15" x14ac:dyDescent="0.2">
      <c r="A18" s="178">
        <v>4</v>
      </c>
      <c r="B18" s="243" t="str">
        <f>IF('Форма для заполнения'!C7&lt;&gt;"",'Форма для заполнения'!C7,"")</f>
        <v/>
      </c>
      <c r="C18" s="244" t="str">
        <f>IF('Форма для заполнения'!B7&lt;&gt;"",'Форма для заполнения'!B7,"")</f>
        <v/>
      </c>
      <c r="D18" s="245" t="str">
        <f>IF('Форма для заполнения'!E7&lt;&gt;"",'Форма для заполнения'!E7,"")</f>
        <v/>
      </c>
      <c r="E18" s="244" t="str">
        <f>IF(B18="","",'Авансовый отчет'!$I$20)</f>
        <v/>
      </c>
      <c r="F18" s="307" t="str">
        <f>IF('Форма для заполнения'!N7&lt;&gt;"",'Форма для заполнения'!N7,"")</f>
        <v/>
      </c>
      <c r="G18" s="180" t="str">
        <f>IF('Форма для заполнения'!G7&lt;&gt;"",'Форма для заполнения'!G7,"")</f>
        <v/>
      </c>
      <c r="H18" s="246" t="str">
        <f>IF('Форма для заполнения'!B7&lt;&gt;"",TRIM('Форма для заполнения'!O7&amp;" "&amp;'Форма для заполнения'!F7),"")</f>
        <v/>
      </c>
      <c r="I18" s="244"/>
      <c r="J18" s="181" t="str">
        <f t="shared" si="2"/>
        <v/>
      </c>
      <c r="K18" s="247" t="str">
        <f t="shared" si="3"/>
        <v/>
      </c>
      <c r="L18" s="248"/>
      <c r="M18" s="248" t="str">
        <f>IF('Форма для заполнения'!M7="","",ROUND('Форма для заполнения'!M7,2))</f>
        <v/>
      </c>
      <c r="N18" s="182" t="str">
        <f t="shared" ref="N18:N44" si="6">IFERROR(IF(ISBLANK(M18),"",ROUND(M18/(1+T18),2)),"")</f>
        <v/>
      </c>
      <c r="O18" s="248"/>
      <c r="P18" s="249"/>
      <c r="Q18" s="183" t="str">
        <f t="shared" ref="Q18:Q36" si="7">IF(C18="","",IF(ISBLANK(L18),1,M18/L18))</f>
        <v/>
      </c>
      <c r="R18" s="184" t="str">
        <f t="shared" ref="R18:R36" si="8">IF(C18="","",IF(ISBLANK(L18),1,L18/M18))</f>
        <v/>
      </c>
      <c r="S18" s="330" t="str">
        <f t="shared" si="4"/>
        <v/>
      </c>
      <c r="T18" s="331" t="str">
        <f t="shared" si="5"/>
        <v xml:space="preserve"> </v>
      </c>
      <c r="U18" s="331" t="str">
        <f t="shared" ref="U18:U44" si="9">IF(N18=""," ",M18-N18)</f>
        <v xml:space="preserve"> </v>
      </c>
    </row>
    <row r="19" spans="1:21" ht="15" x14ac:dyDescent="0.2">
      <c r="A19" s="178">
        <v>5</v>
      </c>
      <c r="B19" s="243" t="str">
        <f>IF('Форма для заполнения'!C8&lt;&gt;"",'Форма для заполнения'!C8,"")</f>
        <v/>
      </c>
      <c r="C19" s="244" t="str">
        <f>IF('Форма для заполнения'!B8&lt;&gt;"",'Форма для заполнения'!B8,"")</f>
        <v/>
      </c>
      <c r="D19" s="245" t="str">
        <f>IF('Форма для заполнения'!E8&lt;&gt;"",'Форма для заполнения'!E8,"")</f>
        <v/>
      </c>
      <c r="E19" s="244" t="str">
        <f>IF(B19="","",'Авансовый отчет'!$I$20)</f>
        <v/>
      </c>
      <c r="F19" s="307" t="str">
        <f>IF('Форма для заполнения'!N8&lt;&gt;"",'Форма для заполнения'!N8,"")</f>
        <v/>
      </c>
      <c r="G19" s="180" t="str">
        <f>IF('Форма для заполнения'!G8&lt;&gt;"",'Форма для заполнения'!G8,"")</f>
        <v/>
      </c>
      <c r="H19" s="246" t="str">
        <f>IF('Форма для заполнения'!B8&lt;&gt;"",TRIM('Форма для заполнения'!O8&amp;" "&amp;'Форма для заполнения'!F8),"")</f>
        <v/>
      </c>
      <c r="I19" s="244"/>
      <c r="J19" s="181" t="str">
        <f t="shared" si="2"/>
        <v/>
      </c>
      <c r="K19" s="247" t="str">
        <f t="shared" si="3"/>
        <v/>
      </c>
      <c r="L19" s="248"/>
      <c r="M19" s="248" t="str">
        <f>IF('Форма для заполнения'!M8="","",ROUND('Форма для заполнения'!M8,2))</f>
        <v/>
      </c>
      <c r="N19" s="182" t="str">
        <f t="shared" si="6"/>
        <v/>
      </c>
      <c r="O19" s="248"/>
      <c r="P19" s="249"/>
      <c r="Q19" s="183" t="str">
        <f t="shared" si="7"/>
        <v/>
      </c>
      <c r="R19" s="184" t="str">
        <f t="shared" si="8"/>
        <v/>
      </c>
      <c r="S19" s="330" t="str">
        <f t="shared" si="4"/>
        <v/>
      </c>
      <c r="T19" s="331" t="str">
        <f t="shared" si="5"/>
        <v xml:space="preserve"> </v>
      </c>
      <c r="U19" s="331" t="str">
        <f t="shared" si="9"/>
        <v xml:space="preserve"> </v>
      </c>
    </row>
    <row r="20" spans="1:21" ht="15" x14ac:dyDescent="0.2">
      <c r="A20" s="178">
        <v>6</v>
      </c>
      <c r="B20" s="243" t="str">
        <f>IF('Форма для заполнения'!C9&lt;&gt;"",'Форма для заполнения'!C9,"")</f>
        <v/>
      </c>
      <c r="C20" s="244" t="str">
        <f>IF('Форма для заполнения'!B9&lt;&gt;"",'Форма для заполнения'!B9,"")</f>
        <v/>
      </c>
      <c r="D20" s="245" t="str">
        <f>IF('Форма для заполнения'!E9&lt;&gt;"",'Форма для заполнения'!E9,"")</f>
        <v/>
      </c>
      <c r="E20" s="244" t="str">
        <f>IF(B20="","",'Авансовый отчет'!$I$20)</f>
        <v/>
      </c>
      <c r="F20" s="307" t="str">
        <f>IF('Форма для заполнения'!N9&lt;&gt;"",'Форма для заполнения'!N9,"")</f>
        <v/>
      </c>
      <c r="G20" s="180" t="str">
        <f>IF('Форма для заполнения'!G9&lt;&gt;"",'Форма для заполнения'!G9,"")</f>
        <v/>
      </c>
      <c r="H20" s="246" t="str">
        <f>IF('Форма для заполнения'!B9&lt;&gt;"",TRIM('Форма для заполнения'!O9&amp;" "&amp;'Форма для заполнения'!F9),"")</f>
        <v/>
      </c>
      <c r="I20" s="244"/>
      <c r="J20" s="181" t="str">
        <f t="shared" si="2"/>
        <v/>
      </c>
      <c r="K20" s="247" t="str">
        <f t="shared" si="3"/>
        <v/>
      </c>
      <c r="L20" s="248"/>
      <c r="M20" s="248" t="str">
        <f>IF('Форма для заполнения'!M9="","",ROUND('Форма для заполнения'!M9,2))</f>
        <v/>
      </c>
      <c r="N20" s="182" t="str">
        <f t="shared" si="6"/>
        <v/>
      </c>
      <c r="O20" s="248"/>
      <c r="P20" s="249"/>
      <c r="Q20" s="183" t="str">
        <f t="shared" si="7"/>
        <v/>
      </c>
      <c r="R20" s="184" t="str">
        <f t="shared" si="8"/>
        <v/>
      </c>
      <c r="S20" s="330" t="str">
        <f t="shared" si="4"/>
        <v/>
      </c>
      <c r="T20" s="331" t="str">
        <f t="shared" si="5"/>
        <v xml:space="preserve"> </v>
      </c>
      <c r="U20" s="331" t="str">
        <f t="shared" si="9"/>
        <v xml:space="preserve"> </v>
      </c>
    </row>
    <row r="21" spans="1:21" ht="15" x14ac:dyDescent="0.2">
      <c r="A21" s="178">
        <v>7</v>
      </c>
      <c r="B21" s="243" t="str">
        <f>IF('Форма для заполнения'!C10&lt;&gt;"",'Форма для заполнения'!C10,"")</f>
        <v/>
      </c>
      <c r="C21" s="244" t="str">
        <f>IF('Форма для заполнения'!B10&lt;&gt;"",'Форма для заполнения'!B10,"")</f>
        <v/>
      </c>
      <c r="D21" s="245" t="str">
        <f>IF('Форма для заполнения'!E10&lt;&gt;"",'Форма для заполнения'!E10,"")</f>
        <v/>
      </c>
      <c r="E21" s="244" t="str">
        <f>IF(B21="","",'Авансовый отчет'!$I$20)</f>
        <v/>
      </c>
      <c r="F21" s="307" t="str">
        <f>IF('Форма для заполнения'!N10&lt;&gt;"",'Форма для заполнения'!N10,"")</f>
        <v/>
      </c>
      <c r="G21" s="180" t="str">
        <f>IF('Форма для заполнения'!G10&lt;&gt;"",'Форма для заполнения'!G10,"")</f>
        <v/>
      </c>
      <c r="H21" s="246" t="str">
        <f>IF('Форма для заполнения'!B10&lt;&gt;"",TRIM('Форма для заполнения'!O10&amp;" "&amp;'Форма для заполнения'!F10),"")</f>
        <v/>
      </c>
      <c r="I21" s="244"/>
      <c r="J21" s="181" t="str">
        <f t="shared" si="2"/>
        <v/>
      </c>
      <c r="K21" s="247" t="str">
        <f t="shared" si="3"/>
        <v/>
      </c>
      <c r="L21" s="248"/>
      <c r="M21" s="248" t="str">
        <f>IF('Форма для заполнения'!M10="","",ROUND('Форма для заполнения'!M10,2))</f>
        <v/>
      </c>
      <c r="N21" s="182" t="str">
        <f t="shared" si="6"/>
        <v/>
      </c>
      <c r="O21" s="248"/>
      <c r="P21" s="249"/>
      <c r="Q21" s="183" t="str">
        <f t="shared" si="7"/>
        <v/>
      </c>
      <c r="R21" s="184" t="str">
        <f t="shared" si="8"/>
        <v/>
      </c>
      <c r="S21" s="330" t="str">
        <f t="shared" si="4"/>
        <v/>
      </c>
      <c r="T21" s="331" t="str">
        <f t="shared" si="5"/>
        <v xml:space="preserve"> </v>
      </c>
      <c r="U21" s="331" t="str">
        <f t="shared" si="9"/>
        <v xml:space="preserve"> </v>
      </c>
    </row>
    <row r="22" spans="1:21" ht="15" x14ac:dyDescent="0.2">
      <c r="A22" s="178">
        <v>8</v>
      </c>
      <c r="B22" s="243" t="str">
        <f>IF('Форма для заполнения'!C11&lt;&gt;"",'Форма для заполнения'!C11,"")</f>
        <v/>
      </c>
      <c r="C22" s="244" t="str">
        <f>IF('Форма для заполнения'!B11&lt;&gt;"",'Форма для заполнения'!B11,"")</f>
        <v/>
      </c>
      <c r="D22" s="245" t="str">
        <f>IF('Форма для заполнения'!E11&lt;&gt;"",'Форма для заполнения'!E11,"")</f>
        <v/>
      </c>
      <c r="E22" s="244" t="str">
        <f>IF(B22="","",'Авансовый отчет'!$I$20)</f>
        <v/>
      </c>
      <c r="F22" s="307" t="str">
        <f>IF('Форма для заполнения'!N11&lt;&gt;"",'Форма для заполнения'!N11,"")</f>
        <v/>
      </c>
      <c r="G22" s="180" t="str">
        <f>IF('Форма для заполнения'!G11&lt;&gt;"",'Форма для заполнения'!G11,"")</f>
        <v/>
      </c>
      <c r="H22" s="246" t="str">
        <f>IF('Форма для заполнения'!B11&lt;&gt;"",TRIM('Форма для заполнения'!O11&amp;" "&amp;'Форма для заполнения'!F11),"")</f>
        <v/>
      </c>
      <c r="I22" s="244"/>
      <c r="J22" s="181" t="str">
        <f t="shared" si="2"/>
        <v/>
      </c>
      <c r="K22" s="247" t="str">
        <f t="shared" si="3"/>
        <v/>
      </c>
      <c r="L22" s="248"/>
      <c r="M22" s="248" t="str">
        <f>IF('Форма для заполнения'!M11="","",ROUND('Форма для заполнения'!M11,2))</f>
        <v/>
      </c>
      <c r="N22" s="182" t="str">
        <f t="shared" si="6"/>
        <v/>
      </c>
      <c r="O22" s="248"/>
      <c r="P22" s="249"/>
      <c r="Q22" s="183" t="str">
        <f t="shared" si="7"/>
        <v/>
      </c>
      <c r="R22" s="184" t="str">
        <f t="shared" si="8"/>
        <v/>
      </c>
      <c r="S22" s="330" t="str">
        <f t="shared" si="4"/>
        <v/>
      </c>
      <c r="T22" s="331" t="str">
        <f t="shared" si="5"/>
        <v xml:space="preserve"> </v>
      </c>
      <c r="U22" s="331" t="str">
        <f t="shared" si="9"/>
        <v xml:space="preserve"> </v>
      </c>
    </row>
    <row r="23" spans="1:21" ht="15" x14ac:dyDescent="0.2">
      <c r="A23" s="178">
        <v>9</v>
      </c>
      <c r="B23" s="243" t="str">
        <f>IF('Форма для заполнения'!C12&lt;&gt;"",'Форма для заполнения'!C12,"")</f>
        <v/>
      </c>
      <c r="C23" s="244" t="str">
        <f>IF('Форма для заполнения'!B12&lt;&gt;"",'Форма для заполнения'!B12,"")</f>
        <v/>
      </c>
      <c r="D23" s="245" t="str">
        <f>IF('Форма для заполнения'!E12&lt;&gt;"",'Форма для заполнения'!E12,"")</f>
        <v/>
      </c>
      <c r="E23" s="244" t="str">
        <f>IF(B23="","",'Авансовый отчет'!$I$20)</f>
        <v/>
      </c>
      <c r="F23" s="307" t="str">
        <f>IF('Форма для заполнения'!N12&lt;&gt;"",'Форма для заполнения'!N12,"")</f>
        <v/>
      </c>
      <c r="G23" s="180" t="str">
        <f>IF('Форма для заполнения'!G12&lt;&gt;"",'Форма для заполнения'!G12,"")</f>
        <v/>
      </c>
      <c r="H23" s="246" t="str">
        <f>IF('Форма для заполнения'!B12&lt;&gt;"",TRIM('Форма для заполнения'!O12&amp;" "&amp;'Форма для заполнения'!F12),"")</f>
        <v/>
      </c>
      <c r="I23" s="244"/>
      <c r="J23" s="181" t="str">
        <f t="shared" si="2"/>
        <v/>
      </c>
      <c r="K23" s="247" t="str">
        <f t="shared" si="3"/>
        <v/>
      </c>
      <c r="L23" s="248"/>
      <c r="M23" s="248" t="str">
        <f>IF('Форма для заполнения'!M12="","",ROUND('Форма для заполнения'!M12,2))</f>
        <v/>
      </c>
      <c r="N23" s="182" t="str">
        <f t="shared" si="6"/>
        <v/>
      </c>
      <c r="O23" s="248"/>
      <c r="P23" s="249"/>
      <c r="Q23" s="183" t="str">
        <f t="shared" si="7"/>
        <v/>
      </c>
      <c r="R23" s="184" t="str">
        <f t="shared" si="8"/>
        <v/>
      </c>
      <c r="S23" s="330" t="str">
        <f t="shared" si="4"/>
        <v/>
      </c>
      <c r="T23" s="331" t="str">
        <f t="shared" si="5"/>
        <v xml:space="preserve"> </v>
      </c>
      <c r="U23" s="331" t="str">
        <f t="shared" si="9"/>
        <v xml:space="preserve"> </v>
      </c>
    </row>
    <row r="24" spans="1:21" ht="15" x14ac:dyDescent="0.2">
      <c r="A24" s="178">
        <v>10</v>
      </c>
      <c r="B24" s="243" t="str">
        <f>IF('Форма для заполнения'!C13&lt;&gt;"",'Форма для заполнения'!C13,"")</f>
        <v/>
      </c>
      <c r="C24" s="244" t="str">
        <f>IF('Форма для заполнения'!B13&lt;&gt;"",'Форма для заполнения'!B13,"")</f>
        <v/>
      </c>
      <c r="D24" s="245" t="str">
        <f>IF('Форма для заполнения'!E13&lt;&gt;"",'Форма для заполнения'!E13,"")</f>
        <v/>
      </c>
      <c r="E24" s="244" t="str">
        <f>IF(B24="","",'Авансовый отчет'!$I$20)</f>
        <v/>
      </c>
      <c r="F24" s="307" t="str">
        <f>IF('Форма для заполнения'!N13&lt;&gt;"",'Форма для заполнения'!N13,"")</f>
        <v/>
      </c>
      <c r="G24" s="180" t="str">
        <f>IF('Форма для заполнения'!G13&lt;&gt;"",'Форма для заполнения'!G13,"")</f>
        <v/>
      </c>
      <c r="H24" s="246" t="str">
        <f>IF('Форма для заполнения'!B13&lt;&gt;"",TRIM('Форма для заполнения'!O13&amp;" "&amp;'Форма для заполнения'!F13),"")</f>
        <v/>
      </c>
      <c r="I24" s="244"/>
      <c r="J24" s="181" t="str">
        <f t="shared" si="2"/>
        <v/>
      </c>
      <c r="K24" s="247" t="str">
        <f t="shared" si="3"/>
        <v/>
      </c>
      <c r="L24" s="248"/>
      <c r="M24" s="248" t="str">
        <f>IF('Форма для заполнения'!M13="","",ROUND('Форма для заполнения'!M13,2))</f>
        <v/>
      </c>
      <c r="N24" s="182" t="str">
        <f t="shared" si="6"/>
        <v/>
      </c>
      <c r="O24" s="248"/>
      <c r="P24" s="249"/>
      <c r="Q24" s="183" t="str">
        <f t="shared" si="7"/>
        <v/>
      </c>
      <c r="R24" s="184" t="str">
        <f t="shared" si="8"/>
        <v/>
      </c>
      <c r="S24" s="330" t="str">
        <f t="shared" si="4"/>
        <v/>
      </c>
      <c r="T24" s="331" t="str">
        <f t="shared" si="5"/>
        <v xml:space="preserve"> </v>
      </c>
      <c r="U24" s="331" t="str">
        <f t="shared" si="9"/>
        <v xml:space="preserve"> </v>
      </c>
    </row>
    <row r="25" spans="1:21" ht="15" x14ac:dyDescent="0.2">
      <c r="A25" s="178">
        <v>11</v>
      </c>
      <c r="B25" s="243" t="str">
        <f>IF('Форма для заполнения'!C14&lt;&gt;"",'Форма для заполнения'!C14,"")</f>
        <v/>
      </c>
      <c r="C25" s="244" t="str">
        <f>IF('Форма для заполнения'!B14&lt;&gt;"",'Форма для заполнения'!B14,"")</f>
        <v/>
      </c>
      <c r="D25" s="245" t="str">
        <f>IF('Форма для заполнения'!E14&lt;&gt;"",'Форма для заполнения'!E14,"")</f>
        <v/>
      </c>
      <c r="E25" s="244" t="str">
        <f>IF(B25="","",'Авансовый отчет'!$I$20)</f>
        <v/>
      </c>
      <c r="F25" s="307" t="str">
        <f>IF('Форма для заполнения'!N14&lt;&gt;"",'Форма для заполнения'!N14,"")</f>
        <v/>
      </c>
      <c r="G25" s="180" t="str">
        <f>IF('Форма для заполнения'!G14&lt;&gt;"",'Форма для заполнения'!G14,"")</f>
        <v/>
      </c>
      <c r="H25" s="246" t="str">
        <f>IF('Форма для заполнения'!B14&lt;&gt;"",TRIM('Форма для заполнения'!O14&amp;" "&amp;'Форма для заполнения'!F14),"")</f>
        <v/>
      </c>
      <c r="I25" s="244"/>
      <c r="J25" s="181" t="str">
        <f t="shared" si="2"/>
        <v/>
      </c>
      <c r="K25" s="247" t="str">
        <f t="shared" si="3"/>
        <v/>
      </c>
      <c r="L25" s="248"/>
      <c r="M25" s="248" t="str">
        <f>IF('Форма для заполнения'!M14="","",ROUND('Форма для заполнения'!M14,2))</f>
        <v/>
      </c>
      <c r="N25" s="182" t="str">
        <f t="shared" si="6"/>
        <v/>
      </c>
      <c r="O25" s="248"/>
      <c r="P25" s="249"/>
      <c r="Q25" s="183" t="str">
        <f t="shared" si="7"/>
        <v/>
      </c>
      <c r="R25" s="184" t="str">
        <f t="shared" si="8"/>
        <v/>
      </c>
      <c r="S25" s="330" t="str">
        <f t="shared" si="4"/>
        <v/>
      </c>
      <c r="T25" s="331" t="str">
        <f t="shared" si="5"/>
        <v xml:space="preserve"> </v>
      </c>
      <c r="U25" s="331" t="str">
        <f t="shared" si="9"/>
        <v xml:space="preserve"> </v>
      </c>
    </row>
    <row r="26" spans="1:21" ht="15" x14ac:dyDescent="0.2">
      <c r="A26" s="178">
        <v>12</v>
      </c>
      <c r="B26" s="243" t="str">
        <f>IF('Форма для заполнения'!C15&lt;&gt;"",'Форма для заполнения'!C15,"")</f>
        <v/>
      </c>
      <c r="C26" s="244" t="str">
        <f>IF('Форма для заполнения'!B15&lt;&gt;"",'Форма для заполнения'!B15,"")</f>
        <v/>
      </c>
      <c r="D26" s="245" t="str">
        <f>IF('Форма для заполнения'!E15&lt;&gt;"",'Форма для заполнения'!E15,"")</f>
        <v/>
      </c>
      <c r="E26" s="244" t="str">
        <f>IF(B26="","",'Авансовый отчет'!$I$20)</f>
        <v/>
      </c>
      <c r="F26" s="307" t="str">
        <f>IF('Форма для заполнения'!N15&lt;&gt;"",'Форма для заполнения'!N15,"")</f>
        <v/>
      </c>
      <c r="G26" s="180" t="str">
        <f>IF('Форма для заполнения'!G15&lt;&gt;"",'Форма для заполнения'!G15,"")</f>
        <v/>
      </c>
      <c r="H26" s="246" t="str">
        <f>IF('Форма для заполнения'!B15&lt;&gt;"",TRIM('Форма для заполнения'!O15&amp;" "&amp;'Форма для заполнения'!F15),"")</f>
        <v/>
      </c>
      <c r="I26" s="244"/>
      <c r="J26" s="181" t="str">
        <f t="shared" si="2"/>
        <v/>
      </c>
      <c r="K26" s="247" t="str">
        <f t="shared" si="3"/>
        <v/>
      </c>
      <c r="L26" s="248"/>
      <c r="M26" s="248" t="str">
        <f>IF('Форма для заполнения'!M15="","",ROUND('Форма для заполнения'!M15,2))</f>
        <v/>
      </c>
      <c r="N26" s="182" t="str">
        <f t="shared" si="6"/>
        <v/>
      </c>
      <c r="O26" s="248"/>
      <c r="P26" s="249"/>
      <c r="Q26" s="183" t="str">
        <f t="shared" si="7"/>
        <v/>
      </c>
      <c r="R26" s="184" t="str">
        <f t="shared" si="8"/>
        <v/>
      </c>
      <c r="S26" s="330" t="str">
        <f t="shared" si="4"/>
        <v/>
      </c>
      <c r="T26" s="331" t="str">
        <f t="shared" si="5"/>
        <v xml:space="preserve"> </v>
      </c>
      <c r="U26" s="331" t="str">
        <f t="shared" si="9"/>
        <v xml:space="preserve"> </v>
      </c>
    </row>
    <row r="27" spans="1:21" ht="15" x14ac:dyDescent="0.2">
      <c r="A27" s="178">
        <v>13</v>
      </c>
      <c r="B27" s="243" t="str">
        <f>IF('Форма для заполнения'!C16&lt;&gt;"",'Форма для заполнения'!C16,"")</f>
        <v/>
      </c>
      <c r="C27" s="244" t="str">
        <f>IF('Форма для заполнения'!B16&lt;&gt;"",'Форма для заполнения'!B16,"")</f>
        <v/>
      </c>
      <c r="D27" s="245" t="str">
        <f>IF('Форма для заполнения'!E16&lt;&gt;"",'Форма для заполнения'!E16,"")</f>
        <v/>
      </c>
      <c r="E27" s="244" t="str">
        <f>IF(B27="","",'Авансовый отчет'!$I$20)</f>
        <v/>
      </c>
      <c r="F27" s="307" t="str">
        <f>IF('Форма для заполнения'!N16&lt;&gt;"",'Форма для заполнения'!N16,"")</f>
        <v/>
      </c>
      <c r="G27" s="180" t="str">
        <f>IF('Форма для заполнения'!G16&lt;&gt;"",'Форма для заполнения'!G16,"")</f>
        <v/>
      </c>
      <c r="H27" s="246" t="str">
        <f>IF('Форма для заполнения'!B16&lt;&gt;"",TRIM('Форма для заполнения'!O16&amp;" "&amp;'Форма для заполнения'!F16),"")</f>
        <v/>
      </c>
      <c r="I27" s="244"/>
      <c r="J27" s="181" t="str">
        <f t="shared" si="2"/>
        <v/>
      </c>
      <c r="K27" s="247" t="str">
        <f t="shared" si="3"/>
        <v/>
      </c>
      <c r="L27" s="248"/>
      <c r="M27" s="248" t="str">
        <f>IF('Форма для заполнения'!M16="","",ROUND('Форма для заполнения'!M16,2))</f>
        <v/>
      </c>
      <c r="N27" s="182" t="str">
        <f t="shared" si="6"/>
        <v/>
      </c>
      <c r="O27" s="248"/>
      <c r="P27" s="249"/>
      <c r="Q27" s="183" t="str">
        <f t="shared" si="7"/>
        <v/>
      </c>
      <c r="R27" s="184" t="str">
        <f t="shared" si="8"/>
        <v/>
      </c>
      <c r="S27" s="330" t="str">
        <f t="shared" si="4"/>
        <v/>
      </c>
      <c r="T27" s="331" t="str">
        <f t="shared" si="5"/>
        <v xml:space="preserve"> </v>
      </c>
      <c r="U27" s="331" t="str">
        <f t="shared" si="9"/>
        <v xml:space="preserve"> </v>
      </c>
    </row>
    <row r="28" spans="1:21" ht="15" x14ac:dyDescent="0.2">
      <c r="A28" s="178">
        <v>14</v>
      </c>
      <c r="B28" s="243" t="str">
        <f>IF('Форма для заполнения'!C17&lt;&gt;"",'Форма для заполнения'!C17,"")</f>
        <v/>
      </c>
      <c r="C28" s="244" t="str">
        <f>IF('Форма для заполнения'!B17&lt;&gt;"",'Форма для заполнения'!B17,"")</f>
        <v/>
      </c>
      <c r="D28" s="245" t="str">
        <f>IF('Форма для заполнения'!E17&lt;&gt;"",'Форма для заполнения'!E17,"")</f>
        <v/>
      </c>
      <c r="E28" s="244" t="str">
        <f>IF(B28="","",'Авансовый отчет'!$I$20)</f>
        <v/>
      </c>
      <c r="F28" s="307" t="str">
        <f>IF('Форма для заполнения'!N17&lt;&gt;"",'Форма для заполнения'!N17,"")</f>
        <v/>
      </c>
      <c r="G28" s="180" t="str">
        <f>IF('Форма для заполнения'!G17&lt;&gt;"",'Форма для заполнения'!G17,"")</f>
        <v/>
      </c>
      <c r="H28" s="246" t="str">
        <f>IF('Форма для заполнения'!B17&lt;&gt;"",TRIM('Форма для заполнения'!O17&amp;" "&amp;'Форма для заполнения'!F17),"")</f>
        <v/>
      </c>
      <c r="I28" s="244"/>
      <c r="J28" s="181" t="str">
        <f t="shared" si="2"/>
        <v/>
      </c>
      <c r="K28" s="247" t="str">
        <f t="shared" si="3"/>
        <v/>
      </c>
      <c r="L28" s="248"/>
      <c r="M28" s="248" t="str">
        <f>IF('Форма для заполнения'!M17="","",ROUND('Форма для заполнения'!M17,2))</f>
        <v/>
      </c>
      <c r="N28" s="182" t="str">
        <f t="shared" si="6"/>
        <v/>
      </c>
      <c r="O28" s="248"/>
      <c r="P28" s="249"/>
      <c r="Q28" s="183" t="str">
        <f t="shared" si="7"/>
        <v/>
      </c>
      <c r="R28" s="184" t="str">
        <f t="shared" si="8"/>
        <v/>
      </c>
      <c r="S28" s="330" t="str">
        <f t="shared" si="4"/>
        <v/>
      </c>
      <c r="T28" s="331" t="str">
        <f t="shared" si="5"/>
        <v xml:space="preserve"> </v>
      </c>
      <c r="U28" s="331" t="str">
        <f t="shared" si="9"/>
        <v xml:space="preserve"> </v>
      </c>
    </row>
    <row r="29" spans="1:21" ht="15" x14ac:dyDescent="0.2">
      <c r="A29" s="178">
        <v>15</v>
      </c>
      <c r="B29" s="243" t="str">
        <f>IF('Форма для заполнения'!C18&lt;&gt;"",'Форма для заполнения'!C18,"")</f>
        <v/>
      </c>
      <c r="C29" s="244" t="str">
        <f>IF('Форма для заполнения'!B18&lt;&gt;"",'Форма для заполнения'!B18,"")</f>
        <v/>
      </c>
      <c r="D29" s="245" t="str">
        <f>IF('Форма для заполнения'!E18&lt;&gt;"",'Форма для заполнения'!E18,"")</f>
        <v/>
      </c>
      <c r="E29" s="244" t="str">
        <f>IF(B29="","",'Авансовый отчет'!$I$20)</f>
        <v/>
      </c>
      <c r="F29" s="307" t="str">
        <f>IF('Форма для заполнения'!N18&lt;&gt;"",'Форма для заполнения'!N18,"")</f>
        <v/>
      </c>
      <c r="G29" s="180" t="str">
        <f>IF('Форма для заполнения'!G18&lt;&gt;"",'Форма для заполнения'!G18,"")</f>
        <v/>
      </c>
      <c r="H29" s="246" t="str">
        <f>IF('Форма для заполнения'!B18&lt;&gt;"",TRIM('Форма для заполнения'!O18&amp;" "&amp;'Форма для заполнения'!F18),"")</f>
        <v/>
      </c>
      <c r="I29" s="244"/>
      <c r="J29" s="181" t="str">
        <f t="shared" si="2"/>
        <v/>
      </c>
      <c r="K29" s="247" t="str">
        <f t="shared" si="3"/>
        <v/>
      </c>
      <c r="L29" s="248"/>
      <c r="M29" s="248" t="str">
        <f>IF('Форма для заполнения'!M18="","",ROUND('Форма для заполнения'!M18,2))</f>
        <v/>
      </c>
      <c r="N29" s="182" t="str">
        <f t="shared" si="6"/>
        <v/>
      </c>
      <c r="O29" s="248"/>
      <c r="P29" s="249"/>
      <c r="Q29" s="183" t="str">
        <f t="shared" si="7"/>
        <v/>
      </c>
      <c r="R29" s="184" t="str">
        <f t="shared" si="8"/>
        <v/>
      </c>
      <c r="S29" s="330" t="str">
        <f t="shared" si="4"/>
        <v/>
      </c>
      <c r="T29" s="331" t="str">
        <f t="shared" si="5"/>
        <v xml:space="preserve"> </v>
      </c>
      <c r="U29" s="331" t="str">
        <f t="shared" si="9"/>
        <v xml:space="preserve"> </v>
      </c>
    </row>
    <row r="30" spans="1:21" ht="15" x14ac:dyDescent="0.2">
      <c r="A30" s="178">
        <v>16</v>
      </c>
      <c r="B30" s="243" t="str">
        <f>IF('Форма для заполнения'!C19&lt;&gt;"",'Форма для заполнения'!C19,"")</f>
        <v/>
      </c>
      <c r="C30" s="244" t="str">
        <f>IF('Форма для заполнения'!B19&lt;&gt;"",'Форма для заполнения'!B19,"")</f>
        <v/>
      </c>
      <c r="D30" s="245" t="str">
        <f>IF('Форма для заполнения'!E19&lt;&gt;"",'Форма для заполнения'!E19,"")</f>
        <v/>
      </c>
      <c r="E30" s="244" t="str">
        <f>IF(B30="","",'Авансовый отчет'!$I$20)</f>
        <v/>
      </c>
      <c r="F30" s="307" t="str">
        <f>IF('Форма для заполнения'!N19&lt;&gt;"",'Форма для заполнения'!N19,"")</f>
        <v/>
      </c>
      <c r="G30" s="180" t="str">
        <f>IF('Форма для заполнения'!G19&lt;&gt;"",'Форма для заполнения'!G19,"")</f>
        <v/>
      </c>
      <c r="H30" s="246" t="str">
        <f>IF('Форма для заполнения'!B19&lt;&gt;"",TRIM('Форма для заполнения'!O19&amp;" "&amp;'Форма для заполнения'!F19),"")</f>
        <v/>
      </c>
      <c r="I30" s="244"/>
      <c r="J30" s="181" t="str">
        <f t="shared" si="2"/>
        <v/>
      </c>
      <c r="K30" s="247" t="str">
        <f t="shared" si="3"/>
        <v/>
      </c>
      <c r="L30" s="248"/>
      <c r="M30" s="248" t="str">
        <f>IF('Форма для заполнения'!M19="","",ROUND('Форма для заполнения'!M19,2))</f>
        <v/>
      </c>
      <c r="N30" s="182" t="str">
        <f t="shared" si="6"/>
        <v/>
      </c>
      <c r="O30" s="248"/>
      <c r="P30" s="249"/>
      <c r="Q30" s="183" t="str">
        <f t="shared" si="7"/>
        <v/>
      </c>
      <c r="R30" s="184" t="str">
        <f t="shared" si="8"/>
        <v/>
      </c>
      <c r="S30" s="330" t="str">
        <f t="shared" si="4"/>
        <v/>
      </c>
      <c r="T30" s="331" t="str">
        <f t="shared" si="5"/>
        <v xml:space="preserve"> </v>
      </c>
      <c r="U30" s="331" t="str">
        <f t="shared" si="9"/>
        <v xml:space="preserve"> </v>
      </c>
    </row>
    <row r="31" spans="1:21" ht="15" x14ac:dyDescent="0.2">
      <c r="A31" s="178">
        <v>17</v>
      </c>
      <c r="B31" s="243" t="str">
        <f>IF('Форма для заполнения'!C20&lt;&gt;"",'Форма для заполнения'!C20,"")</f>
        <v/>
      </c>
      <c r="C31" s="244" t="str">
        <f>IF('Форма для заполнения'!B20&lt;&gt;"",'Форма для заполнения'!B20,"")</f>
        <v/>
      </c>
      <c r="D31" s="245" t="str">
        <f>IF('Форма для заполнения'!E20&lt;&gt;"",'Форма для заполнения'!E20,"")</f>
        <v/>
      </c>
      <c r="E31" s="244" t="str">
        <f>IF(B31="","",'Авансовый отчет'!$I$20)</f>
        <v/>
      </c>
      <c r="F31" s="307" t="str">
        <f>IF('Форма для заполнения'!N20&lt;&gt;"",'Форма для заполнения'!N20,"")</f>
        <v/>
      </c>
      <c r="G31" s="180" t="str">
        <f>IF('Форма для заполнения'!G20&lt;&gt;"",'Форма для заполнения'!G20,"")</f>
        <v/>
      </c>
      <c r="H31" s="246" t="str">
        <f>IF('Форма для заполнения'!B20&lt;&gt;"",TRIM('Форма для заполнения'!O20&amp;" "&amp;'Форма для заполнения'!F20),"")</f>
        <v/>
      </c>
      <c r="I31" s="244"/>
      <c r="J31" s="181" t="str">
        <f t="shared" si="2"/>
        <v/>
      </c>
      <c r="K31" s="247" t="str">
        <f t="shared" si="3"/>
        <v/>
      </c>
      <c r="L31" s="248"/>
      <c r="M31" s="248" t="str">
        <f>IF('Форма для заполнения'!M20="","",ROUND('Форма для заполнения'!M20,2))</f>
        <v/>
      </c>
      <c r="N31" s="182" t="str">
        <f t="shared" si="6"/>
        <v/>
      </c>
      <c r="O31" s="248"/>
      <c r="P31" s="249"/>
      <c r="Q31" s="183" t="str">
        <f t="shared" si="7"/>
        <v/>
      </c>
      <c r="R31" s="184" t="str">
        <f t="shared" si="8"/>
        <v/>
      </c>
      <c r="S31" s="330" t="str">
        <f t="shared" si="4"/>
        <v/>
      </c>
      <c r="T31" s="331" t="str">
        <f t="shared" si="5"/>
        <v xml:space="preserve"> </v>
      </c>
      <c r="U31" s="331" t="str">
        <f t="shared" si="9"/>
        <v xml:space="preserve"> </v>
      </c>
    </row>
    <row r="32" spans="1:21" ht="15" x14ac:dyDescent="0.2">
      <c r="A32" s="178">
        <v>18</v>
      </c>
      <c r="B32" s="243" t="str">
        <f>IF('Форма для заполнения'!C21&lt;&gt;"",'Форма для заполнения'!C21,"")</f>
        <v/>
      </c>
      <c r="C32" s="244" t="str">
        <f>IF('Форма для заполнения'!B21&lt;&gt;"",'Форма для заполнения'!B21,"")</f>
        <v/>
      </c>
      <c r="D32" s="245" t="str">
        <f>IF('Форма для заполнения'!E21&lt;&gt;"",'Форма для заполнения'!E21,"")</f>
        <v/>
      </c>
      <c r="E32" s="244" t="str">
        <f>IF(B32="","",'Авансовый отчет'!$I$20)</f>
        <v/>
      </c>
      <c r="F32" s="307" t="str">
        <f>IF('Форма для заполнения'!N21&lt;&gt;"",'Форма для заполнения'!N21,"")</f>
        <v/>
      </c>
      <c r="G32" s="180" t="str">
        <f>IF('Форма для заполнения'!G21&lt;&gt;"",'Форма для заполнения'!G21,"")</f>
        <v/>
      </c>
      <c r="H32" s="246" t="str">
        <f>IF('Форма для заполнения'!B21&lt;&gt;"",TRIM('Форма для заполнения'!O21&amp;" "&amp;'Форма для заполнения'!F21),"")</f>
        <v/>
      </c>
      <c r="I32" s="244"/>
      <c r="J32" s="181" t="str">
        <f t="shared" si="2"/>
        <v/>
      </c>
      <c r="K32" s="247" t="str">
        <f t="shared" si="3"/>
        <v/>
      </c>
      <c r="L32" s="248"/>
      <c r="M32" s="248" t="str">
        <f>IF('Форма для заполнения'!M21="","",ROUND('Форма для заполнения'!M21,2))</f>
        <v/>
      </c>
      <c r="N32" s="182" t="str">
        <f t="shared" si="6"/>
        <v/>
      </c>
      <c r="O32" s="248"/>
      <c r="P32" s="249"/>
      <c r="Q32" s="183" t="str">
        <f t="shared" si="7"/>
        <v/>
      </c>
      <c r="R32" s="184" t="str">
        <f t="shared" si="8"/>
        <v/>
      </c>
      <c r="S32" s="330" t="str">
        <f t="shared" si="4"/>
        <v/>
      </c>
      <c r="T32" s="331" t="str">
        <f t="shared" si="5"/>
        <v xml:space="preserve"> </v>
      </c>
      <c r="U32" s="331" t="str">
        <f t="shared" si="9"/>
        <v xml:space="preserve"> </v>
      </c>
    </row>
    <row r="33" spans="1:21" ht="15" x14ac:dyDescent="0.2">
      <c r="A33" s="178">
        <v>19</v>
      </c>
      <c r="B33" s="243" t="str">
        <f>IF('Форма для заполнения'!C22&lt;&gt;"",'Форма для заполнения'!C22,"")</f>
        <v/>
      </c>
      <c r="C33" s="244" t="str">
        <f>IF('Форма для заполнения'!B22&lt;&gt;"",'Форма для заполнения'!B22,"")</f>
        <v/>
      </c>
      <c r="D33" s="245" t="str">
        <f>IF('Форма для заполнения'!E22&lt;&gt;"",'Форма для заполнения'!E22,"")</f>
        <v/>
      </c>
      <c r="E33" s="244" t="str">
        <f>IF(B33="","",'Авансовый отчет'!$I$20)</f>
        <v/>
      </c>
      <c r="F33" s="307" t="str">
        <f>IF('Форма для заполнения'!N22&lt;&gt;"",'Форма для заполнения'!N22,"")</f>
        <v/>
      </c>
      <c r="G33" s="180" t="str">
        <f>IF('Форма для заполнения'!G22&lt;&gt;"",'Форма для заполнения'!G22,"")</f>
        <v/>
      </c>
      <c r="H33" s="246" t="str">
        <f>IF('Форма для заполнения'!B22&lt;&gt;"",TRIM('Форма для заполнения'!O22&amp;" "&amp;'Форма для заполнения'!F22),"")</f>
        <v/>
      </c>
      <c r="I33" s="244"/>
      <c r="J33" s="181" t="str">
        <f t="shared" si="2"/>
        <v/>
      </c>
      <c r="K33" s="247" t="str">
        <f t="shared" si="3"/>
        <v/>
      </c>
      <c r="L33" s="248"/>
      <c r="M33" s="248" t="str">
        <f>IF('Форма для заполнения'!M22="","",ROUND('Форма для заполнения'!M22,2))</f>
        <v/>
      </c>
      <c r="N33" s="182" t="str">
        <f t="shared" si="6"/>
        <v/>
      </c>
      <c r="O33" s="248"/>
      <c r="P33" s="249"/>
      <c r="Q33" s="183" t="str">
        <f t="shared" si="7"/>
        <v/>
      </c>
      <c r="R33" s="184" t="str">
        <f t="shared" si="8"/>
        <v/>
      </c>
      <c r="S33" s="330" t="str">
        <f t="shared" si="4"/>
        <v/>
      </c>
      <c r="T33" s="331" t="str">
        <f t="shared" si="5"/>
        <v xml:space="preserve"> </v>
      </c>
      <c r="U33" s="331" t="str">
        <f t="shared" si="9"/>
        <v xml:space="preserve"> </v>
      </c>
    </row>
    <row r="34" spans="1:21" ht="15" x14ac:dyDescent="0.2">
      <c r="A34" s="178">
        <v>20</v>
      </c>
      <c r="B34" s="243" t="str">
        <f>IF('Форма для заполнения'!C23&lt;&gt;"",'Форма для заполнения'!C23,"")</f>
        <v/>
      </c>
      <c r="C34" s="244" t="str">
        <f>IF('Форма для заполнения'!B23&lt;&gt;"",'Форма для заполнения'!B23,"")</f>
        <v/>
      </c>
      <c r="D34" s="245" t="str">
        <f>IF('Форма для заполнения'!E23&lt;&gt;"",'Форма для заполнения'!E23,"")</f>
        <v/>
      </c>
      <c r="E34" s="244" t="str">
        <f>IF(B34="","",'Авансовый отчет'!$I$20)</f>
        <v/>
      </c>
      <c r="F34" s="307" t="str">
        <f>IF('Форма для заполнения'!N23&lt;&gt;"",'Форма для заполнения'!N23,"")</f>
        <v/>
      </c>
      <c r="G34" s="180" t="str">
        <f>IF('Форма для заполнения'!G23&lt;&gt;"",'Форма для заполнения'!G23,"")</f>
        <v/>
      </c>
      <c r="H34" s="246" t="str">
        <f>IF('Форма для заполнения'!B23&lt;&gt;"",TRIM('Форма для заполнения'!O23&amp;" "&amp;'Форма для заполнения'!F23),"")</f>
        <v/>
      </c>
      <c r="I34" s="244"/>
      <c r="J34" s="181" t="str">
        <f t="shared" si="2"/>
        <v/>
      </c>
      <c r="K34" s="247" t="str">
        <f t="shared" si="3"/>
        <v/>
      </c>
      <c r="L34" s="248"/>
      <c r="M34" s="248" t="str">
        <f>IF('Форма для заполнения'!M23="","",ROUND('Форма для заполнения'!M23,2))</f>
        <v/>
      </c>
      <c r="N34" s="182" t="str">
        <f t="shared" si="6"/>
        <v/>
      </c>
      <c r="O34" s="248"/>
      <c r="P34" s="249"/>
      <c r="Q34" s="183" t="str">
        <f t="shared" si="7"/>
        <v/>
      </c>
      <c r="R34" s="184" t="str">
        <f t="shared" si="8"/>
        <v/>
      </c>
      <c r="S34" s="330" t="str">
        <f t="shared" si="4"/>
        <v/>
      </c>
      <c r="T34" s="331" t="str">
        <f t="shared" si="5"/>
        <v xml:space="preserve"> </v>
      </c>
      <c r="U34" s="331" t="str">
        <f t="shared" si="9"/>
        <v xml:space="preserve"> </v>
      </c>
    </row>
    <row r="35" spans="1:21" ht="15" x14ac:dyDescent="0.2">
      <c r="A35" s="178">
        <v>21</v>
      </c>
      <c r="B35" s="243" t="str">
        <f>IF('Форма для заполнения'!C24&lt;&gt;"",'Форма для заполнения'!C24,"")</f>
        <v/>
      </c>
      <c r="C35" s="244" t="str">
        <f>IF('Форма для заполнения'!B24&lt;&gt;"",'Форма для заполнения'!B24,"")</f>
        <v/>
      </c>
      <c r="D35" s="245" t="str">
        <f>IF('Форма для заполнения'!E24&lt;&gt;"",'Форма для заполнения'!E24,"")</f>
        <v/>
      </c>
      <c r="E35" s="244" t="str">
        <f>IF(B35="","",'Авансовый отчет'!$I$20)</f>
        <v/>
      </c>
      <c r="F35" s="307" t="str">
        <f>IF('Форма для заполнения'!N24&lt;&gt;"",'Форма для заполнения'!N24,"")</f>
        <v/>
      </c>
      <c r="G35" s="180" t="str">
        <f>IF('Форма для заполнения'!G24&lt;&gt;"",'Форма для заполнения'!G24,"")</f>
        <v/>
      </c>
      <c r="H35" s="246" t="str">
        <f>IF('Форма для заполнения'!B24&lt;&gt;"",TRIM('Форма для заполнения'!O24&amp;" "&amp;'Форма для заполнения'!F24),"")</f>
        <v/>
      </c>
      <c r="I35" s="244"/>
      <c r="J35" s="181" t="str">
        <f t="shared" si="2"/>
        <v/>
      </c>
      <c r="K35" s="247" t="str">
        <f t="shared" si="3"/>
        <v/>
      </c>
      <c r="L35" s="248"/>
      <c r="M35" s="248" t="str">
        <f>IF('Форма для заполнения'!M24="","",ROUND('Форма для заполнения'!M24,2))</f>
        <v/>
      </c>
      <c r="N35" s="182" t="str">
        <f t="shared" si="6"/>
        <v/>
      </c>
      <c r="O35" s="248"/>
      <c r="P35" s="249"/>
      <c r="Q35" s="183" t="str">
        <f t="shared" si="7"/>
        <v/>
      </c>
      <c r="R35" s="184" t="str">
        <f t="shared" si="8"/>
        <v/>
      </c>
      <c r="S35" s="330" t="str">
        <f t="shared" si="4"/>
        <v/>
      </c>
      <c r="T35" s="331" t="str">
        <f t="shared" si="5"/>
        <v xml:space="preserve"> </v>
      </c>
      <c r="U35" s="331" t="str">
        <f t="shared" si="9"/>
        <v xml:space="preserve"> </v>
      </c>
    </row>
    <row r="36" spans="1:21" ht="15" x14ac:dyDescent="0.2">
      <c r="A36" s="178">
        <v>22</v>
      </c>
      <c r="B36" s="243" t="str">
        <f>IF('Форма для заполнения'!C25&lt;&gt;"",'Форма для заполнения'!C25,"")</f>
        <v/>
      </c>
      <c r="C36" s="244" t="str">
        <f>IF('Форма для заполнения'!B25&lt;&gt;"",'Форма для заполнения'!B25,"")</f>
        <v/>
      </c>
      <c r="D36" s="245" t="str">
        <f>IF('Форма для заполнения'!E25&lt;&gt;"",'Форма для заполнения'!E25,"")</f>
        <v/>
      </c>
      <c r="E36" s="244" t="str">
        <f>IF(B36="","",'Авансовый отчет'!$I$20)</f>
        <v/>
      </c>
      <c r="F36" s="307" t="str">
        <f>IF('Форма для заполнения'!N25&lt;&gt;"",'Форма для заполнения'!N25,"")</f>
        <v/>
      </c>
      <c r="G36" s="180" t="str">
        <f>IF('Форма для заполнения'!G25&lt;&gt;"",'Форма для заполнения'!G25,"")</f>
        <v/>
      </c>
      <c r="H36" s="246" t="str">
        <f>IF('Форма для заполнения'!B25&lt;&gt;"",TRIM('Форма для заполнения'!O25&amp;" "&amp;'Форма для заполнения'!F25),"")</f>
        <v/>
      </c>
      <c r="I36" s="244"/>
      <c r="J36" s="181" t="str">
        <f t="shared" si="2"/>
        <v/>
      </c>
      <c r="K36" s="247" t="str">
        <f t="shared" si="3"/>
        <v/>
      </c>
      <c r="L36" s="248"/>
      <c r="M36" s="248" t="str">
        <f>IF('Форма для заполнения'!M25="","",ROUND('Форма для заполнения'!M25,2))</f>
        <v/>
      </c>
      <c r="N36" s="182" t="str">
        <f t="shared" si="6"/>
        <v/>
      </c>
      <c r="O36" s="248"/>
      <c r="P36" s="249"/>
      <c r="Q36" s="183" t="str">
        <f t="shared" si="7"/>
        <v/>
      </c>
      <c r="R36" s="184" t="str">
        <f t="shared" si="8"/>
        <v/>
      </c>
      <c r="S36" s="330" t="str">
        <f t="shared" si="4"/>
        <v/>
      </c>
      <c r="T36" s="331" t="str">
        <f t="shared" si="5"/>
        <v xml:space="preserve"> </v>
      </c>
      <c r="U36" s="331" t="str">
        <f t="shared" si="9"/>
        <v xml:space="preserve"> </v>
      </c>
    </row>
    <row r="37" spans="1:21" ht="15" x14ac:dyDescent="0.2">
      <c r="A37" s="178">
        <v>23</v>
      </c>
      <c r="B37" s="243"/>
      <c r="C37" s="244"/>
      <c r="D37" s="245"/>
      <c r="E37" s="244" t="str">
        <f>IF(B37="","",'Авансовый отчет'!$I$20)</f>
        <v/>
      </c>
      <c r="F37" s="179"/>
      <c r="G37" s="180"/>
      <c r="H37" s="246" t="str">
        <f>IF('Форма для заполнения'!B26&lt;&gt;"",TRIM('Форма для заполнения'!O26&amp;" "&amp;'Форма для заполнения'!F26),"")</f>
        <v/>
      </c>
      <c r="I37" s="244"/>
      <c r="J37" s="181" t="str">
        <f t="shared" si="2"/>
        <v/>
      </c>
      <c r="K37" s="247" t="str">
        <f t="shared" si="3"/>
        <v/>
      </c>
      <c r="L37" s="250"/>
      <c r="M37" s="248" t="str">
        <f>IF('Форма для заполнения'!M26="","",ROUND('Форма для заполнения'!M26,2))</f>
        <v/>
      </c>
      <c r="N37" s="182" t="str">
        <f t="shared" si="6"/>
        <v/>
      </c>
      <c r="O37" s="248"/>
      <c r="P37" s="249"/>
      <c r="Q37" s="183"/>
      <c r="R37" s="184"/>
      <c r="S37" s="330" t="str">
        <f t="shared" si="4"/>
        <v/>
      </c>
      <c r="T37" s="331" t="str">
        <f t="shared" si="5"/>
        <v xml:space="preserve"> </v>
      </c>
      <c r="U37" s="331" t="str">
        <f t="shared" si="9"/>
        <v xml:space="preserve"> </v>
      </c>
    </row>
    <row r="38" spans="1:21" ht="15" x14ac:dyDescent="0.2">
      <c r="A38" s="178">
        <v>24</v>
      </c>
      <c r="B38" s="243"/>
      <c r="C38" s="244"/>
      <c r="D38" s="245"/>
      <c r="E38" s="244" t="str">
        <f>IF(B38="","",'Авансовый отчет'!$I$20)</f>
        <v/>
      </c>
      <c r="F38" s="179"/>
      <c r="G38" s="180"/>
      <c r="H38" s="246" t="str">
        <f>IF('Форма для заполнения'!B27&lt;&gt;"",TRIM('Форма для заполнения'!O27&amp;" "&amp;'Форма для заполнения'!F27),"")</f>
        <v/>
      </c>
      <c r="I38" s="244"/>
      <c r="J38" s="181" t="str">
        <f t="shared" si="2"/>
        <v/>
      </c>
      <c r="K38" s="247" t="str">
        <f t="shared" si="3"/>
        <v/>
      </c>
      <c r="L38" s="250"/>
      <c r="M38" s="248" t="str">
        <f>IF('Форма для заполнения'!M27="","",ROUND('Форма для заполнения'!M27,2))</f>
        <v/>
      </c>
      <c r="N38" s="182" t="str">
        <f t="shared" si="6"/>
        <v/>
      </c>
      <c r="O38" s="248"/>
      <c r="P38" s="249"/>
      <c r="Q38" s="183"/>
      <c r="R38" s="184"/>
      <c r="S38" s="330" t="str">
        <f t="shared" si="4"/>
        <v/>
      </c>
      <c r="T38" s="331" t="str">
        <f t="shared" si="5"/>
        <v xml:space="preserve"> </v>
      </c>
      <c r="U38" s="331" t="str">
        <f t="shared" si="9"/>
        <v xml:space="preserve"> </v>
      </c>
    </row>
    <row r="39" spans="1:21" ht="15" x14ac:dyDescent="0.2">
      <c r="A39" s="178">
        <v>25</v>
      </c>
      <c r="B39" s="243"/>
      <c r="C39" s="244"/>
      <c r="D39" s="245"/>
      <c r="E39" s="244" t="str">
        <f>IF(B39="","",'Авансовый отчет'!$I$20)</f>
        <v/>
      </c>
      <c r="F39" s="179"/>
      <c r="G39" s="180"/>
      <c r="H39" s="246" t="str">
        <f>IF('Форма для заполнения'!B28&lt;&gt;"",TRIM('Форма для заполнения'!O28&amp;" "&amp;'Форма для заполнения'!F28),"")</f>
        <v/>
      </c>
      <c r="I39" s="244"/>
      <c r="J39" s="181" t="str">
        <f t="shared" si="2"/>
        <v/>
      </c>
      <c r="K39" s="247" t="str">
        <f t="shared" si="3"/>
        <v/>
      </c>
      <c r="L39" s="250"/>
      <c r="M39" s="248" t="str">
        <f>IF('Форма для заполнения'!M28="","",ROUND('Форма для заполнения'!M28,2))</f>
        <v/>
      </c>
      <c r="N39" s="182" t="str">
        <f t="shared" si="6"/>
        <v/>
      </c>
      <c r="O39" s="248"/>
      <c r="P39" s="249"/>
      <c r="Q39" s="183"/>
      <c r="R39" s="184"/>
      <c r="S39" s="330" t="str">
        <f t="shared" si="4"/>
        <v/>
      </c>
      <c r="T39" s="331" t="str">
        <f t="shared" si="5"/>
        <v xml:space="preserve"> </v>
      </c>
      <c r="U39" s="331" t="str">
        <f t="shared" si="9"/>
        <v xml:space="preserve"> </v>
      </c>
    </row>
    <row r="40" spans="1:21" ht="15" x14ac:dyDescent="0.2">
      <c r="A40" s="178">
        <v>26</v>
      </c>
      <c r="B40" s="243"/>
      <c r="C40" s="244"/>
      <c r="D40" s="245"/>
      <c r="E40" s="244" t="str">
        <f>IF(B40="","",'Авансовый отчет'!$I$20)</f>
        <v/>
      </c>
      <c r="F40" s="179"/>
      <c r="G40" s="180"/>
      <c r="H40" s="246" t="str">
        <f>IF('Форма для заполнения'!B29&lt;&gt;"",TRIM('Форма для заполнения'!O29&amp;" "&amp;'Форма для заполнения'!F29),"")</f>
        <v/>
      </c>
      <c r="I40" s="244"/>
      <c r="J40" s="181" t="str">
        <f t="shared" si="2"/>
        <v/>
      </c>
      <c r="K40" s="247" t="str">
        <f t="shared" si="3"/>
        <v/>
      </c>
      <c r="L40" s="250"/>
      <c r="M40" s="248" t="str">
        <f>IF('Форма для заполнения'!M29="","",ROUND('Форма для заполнения'!M29,2))</f>
        <v/>
      </c>
      <c r="N40" s="182" t="str">
        <f t="shared" si="6"/>
        <v/>
      </c>
      <c r="O40" s="248"/>
      <c r="P40" s="249"/>
      <c r="Q40" s="183"/>
      <c r="R40" s="184"/>
      <c r="S40" s="330" t="str">
        <f t="shared" si="4"/>
        <v/>
      </c>
      <c r="T40" s="331" t="str">
        <f t="shared" si="5"/>
        <v xml:space="preserve"> </v>
      </c>
      <c r="U40" s="331" t="str">
        <f t="shared" si="9"/>
        <v xml:space="preserve"> </v>
      </c>
    </row>
    <row r="41" spans="1:21" ht="15" x14ac:dyDescent="0.2">
      <c r="A41" s="178">
        <v>27</v>
      </c>
      <c r="B41" s="243"/>
      <c r="C41" s="244"/>
      <c r="D41" s="245"/>
      <c r="E41" s="244" t="str">
        <f>IF(B41="","",'Авансовый отчет'!$I$20)</f>
        <v/>
      </c>
      <c r="F41" s="179"/>
      <c r="G41" s="180"/>
      <c r="H41" s="246" t="str">
        <f>IF('Форма для заполнения'!B30&lt;&gt;"",TRIM('Форма для заполнения'!O30&amp;" "&amp;'Форма для заполнения'!F30),"")</f>
        <v/>
      </c>
      <c r="I41" s="244"/>
      <c r="J41" s="181" t="str">
        <f t="shared" si="2"/>
        <v/>
      </c>
      <c r="K41" s="247" t="str">
        <f t="shared" si="3"/>
        <v/>
      </c>
      <c r="L41" s="250"/>
      <c r="M41" s="248" t="str">
        <f>IF('Форма для заполнения'!M30="","",ROUND('Форма для заполнения'!M30,2))</f>
        <v/>
      </c>
      <c r="N41" s="182" t="str">
        <f t="shared" si="6"/>
        <v/>
      </c>
      <c r="O41" s="248"/>
      <c r="P41" s="249"/>
      <c r="Q41" s="183"/>
      <c r="R41" s="184"/>
      <c r="S41" s="330" t="str">
        <f t="shared" si="4"/>
        <v/>
      </c>
      <c r="T41" s="331" t="str">
        <f t="shared" si="5"/>
        <v xml:space="preserve"> </v>
      </c>
      <c r="U41" s="331" t="str">
        <f t="shared" si="9"/>
        <v xml:space="preserve"> </v>
      </c>
    </row>
    <row r="42" spans="1:21" ht="15" x14ac:dyDescent="0.2">
      <c r="A42" s="178">
        <v>28</v>
      </c>
      <c r="B42" s="243"/>
      <c r="C42" s="244"/>
      <c r="D42" s="245"/>
      <c r="E42" s="244" t="str">
        <f>IF(B42="","",'Авансовый отчет'!$I$20)</f>
        <v/>
      </c>
      <c r="F42" s="179"/>
      <c r="G42" s="180"/>
      <c r="H42" s="246" t="str">
        <f>IF('Форма для заполнения'!B31&lt;&gt;"",TRIM('Форма для заполнения'!O31&amp;" "&amp;'Форма для заполнения'!F31),"")</f>
        <v/>
      </c>
      <c r="I42" s="244"/>
      <c r="J42" s="181" t="str">
        <f t="shared" si="2"/>
        <v/>
      </c>
      <c r="K42" s="247" t="str">
        <f t="shared" si="3"/>
        <v/>
      </c>
      <c r="L42" s="250"/>
      <c r="M42" s="248" t="str">
        <f>IF('Форма для заполнения'!M31="","",ROUND('Форма для заполнения'!M31,2))</f>
        <v/>
      </c>
      <c r="N42" s="182" t="str">
        <f t="shared" si="6"/>
        <v/>
      </c>
      <c r="O42" s="248"/>
      <c r="P42" s="249"/>
      <c r="Q42" s="183"/>
      <c r="R42" s="184"/>
      <c r="S42" s="330" t="str">
        <f t="shared" si="4"/>
        <v/>
      </c>
      <c r="T42" s="331" t="str">
        <f t="shared" si="5"/>
        <v xml:space="preserve"> </v>
      </c>
      <c r="U42" s="331" t="str">
        <f t="shared" si="9"/>
        <v xml:space="preserve"> </v>
      </c>
    </row>
    <row r="43" spans="1:21" ht="15" x14ac:dyDescent="0.2">
      <c r="A43" s="178">
        <v>29</v>
      </c>
      <c r="B43" s="243"/>
      <c r="C43" s="244"/>
      <c r="D43" s="245"/>
      <c r="E43" s="244" t="str">
        <f>IF(B43="","",'Авансовый отчет'!$I$20)</f>
        <v/>
      </c>
      <c r="F43" s="179"/>
      <c r="G43" s="180"/>
      <c r="H43" s="246" t="str">
        <f>IF('Форма для заполнения'!B32&lt;&gt;"",TRIM('Форма для заполнения'!O32&amp;" "&amp;'Форма для заполнения'!F32),"")</f>
        <v/>
      </c>
      <c r="I43" s="244"/>
      <c r="J43" s="181" t="str">
        <f t="shared" si="2"/>
        <v/>
      </c>
      <c r="K43" s="247" t="str">
        <f t="shared" si="3"/>
        <v/>
      </c>
      <c r="L43" s="250"/>
      <c r="M43" s="248" t="str">
        <f>IF('Форма для заполнения'!M32="","",ROUND('Форма для заполнения'!M32,2))</f>
        <v/>
      </c>
      <c r="N43" s="182" t="str">
        <f t="shared" si="6"/>
        <v/>
      </c>
      <c r="O43" s="248"/>
      <c r="P43" s="249"/>
      <c r="Q43" s="183"/>
      <c r="R43" s="184"/>
      <c r="S43" s="330" t="str">
        <f t="shared" si="4"/>
        <v/>
      </c>
      <c r="T43" s="331" t="str">
        <f t="shared" si="5"/>
        <v xml:space="preserve"> </v>
      </c>
      <c r="U43" s="331" t="str">
        <f t="shared" si="9"/>
        <v xml:space="preserve"> </v>
      </c>
    </row>
    <row r="44" spans="1:21" ht="15.75" thickBot="1" x14ac:dyDescent="0.25">
      <c r="A44" s="178">
        <v>30</v>
      </c>
      <c r="B44" s="243"/>
      <c r="C44" s="244"/>
      <c r="D44" s="245"/>
      <c r="E44" s="244" t="str">
        <f>IF(B44="","",'Авансовый отчет'!$I$20)</f>
        <v/>
      </c>
      <c r="F44" s="179"/>
      <c r="G44" s="180"/>
      <c r="H44" s="246" t="str">
        <f>IF('Форма для заполнения'!B33&lt;&gt;"",TRIM('Форма для заполнения'!O33&amp;" "&amp;'Форма для заполнения'!F33),"")</f>
        <v/>
      </c>
      <c r="I44" s="244"/>
      <c r="J44" s="181" t="str">
        <f t="shared" si="2"/>
        <v/>
      </c>
      <c r="K44" s="247" t="str">
        <f t="shared" si="3"/>
        <v/>
      </c>
      <c r="L44" s="250"/>
      <c r="M44" s="248" t="str">
        <f>IF('Форма для заполнения'!M33="","",ROUND('Форма для заполнения'!M33,2))</f>
        <v/>
      </c>
      <c r="N44" s="182" t="str">
        <f t="shared" si="6"/>
        <v/>
      </c>
      <c r="O44" s="248"/>
      <c r="P44" s="249"/>
      <c r="Q44" s="183"/>
      <c r="R44" s="184"/>
      <c r="S44" s="330" t="str">
        <f t="shared" si="4"/>
        <v/>
      </c>
      <c r="T44" s="331" t="str">
        <f t="shared" si="5"/>
        <v xml:space="preserve"> </v>
      </c>
      <c r="U44" s="331" t="str">
        <f t="shared" si="9"/>
        <v xml:space="preserve"> </v>
      </c>
    </row>
    <row r="45" spans="1:21" ht="15.75" thickBot="1" x14ac:dyDescent="0.25">
      <c r="A45" s="185"/>
      <c r="B45" s="186"/>
      <c r="C45" s="187"/>
      <c r="D45" s="186"/>
      <c r="E45" s="186"/>
      <c r="F45" s="188"/>
      <c r="G45" s="188"/>
      <c r="H45" s="188"/>
      <c r="I45" s="189"/>
      <c r="J45" s="190"/>
      <c r="K45" s="190"/>
      <c r="L45" s="190"/>
      <c r="M45" s="191"/>
      <c r="N45" s="191"/>
      <c r="O45" s="191"/>
      <c r="P45" s="192"/>
      <c r="Q45" s="193"/>
      <c r="R45" s="194"/>
      <c r="S45" s="331"/>
      <c r="T45" s="331"/>
      <c r="U45" s="332"/>
    </row>
    <row r="46" spans="1:21" ht="15" x14ac:dyDescent="0.2">
      <c r="A46" s="195"/>
      <c r="B46" s="196" t="s">
        <v>576</v>
      </c>
      <c r="D46" s="197"/>
      <c r="E46" s="197"/>
      <c r="F46" s="197"/>
      <c r="G46" s="197"/>
      <c r="H46" s="198"/>
      <c r="I46" s="158"/>
      <c r="J46" s="199"/>
      <c r="K46" s="200"/>
      <c r="L46" s="201"/>
      <c r="M46" s="202"/>
      <c r="N46" s="203" t="s">
        <v>577</v>
      </c>
      <c r="O46" s="204"/>
      <c r="P46" s="462">
        <f>SUM(M17:M44)</f>
        <v>0</v>
      </c>
      <c r="Q46" s="463"/>
      <c r="R46" s="156"/>
      <c r="S46" s="157"/>
      <c r="T46" s="157"/>
    </row>
    <row r="47" spans="1:21" ht="15" x14ac:dyDescent="0.2">
      <c r="A47" s="205"/>
      <c r="B47" s="196" t="s">
        <v>578</v>
      </c>
      <c r="D47" s="197"/>
      <c r="E47" s="197"/>
      <c r="F47" s="197"/>
      <c r="G47" s="197"/>
      <c r="H47" s="198"/>
      <c r="I47" s="158"/>
      <c r="J47" s="199"/>
      <c r="K47" s="200"/>
      <c r="L47" s="201"/>
      <c r="M47" s="206"/>
      <c r="N47" s="206" t="s">
        <v>579</v>
      </c>
      <c r="O47" s="207" t="s">
        <v>580</v>
      </c>
      <c r="P47" s="464">
        <f>SUM(O14:O44)</f>
        <v>0</v>
      </c>
      <c r="Q47" s="465"/>
      <c r="R47" s="208"/>
      <c r="S47" s="157"/>
      <c r="T47" s="157"/>
    </row>
    <row r="48" spans="1:21" ht="15" x14ac:dyDescent="0.2">
      <c r="A48" s="209"/>
      <c r="B48" s="196" t="s">
        <v>581</v>
      </c>
      <c r="D48" s="197"/>
      <c r="E48" s="210"/>
      <c r="F48" s="197"/>
      <c r="G48" s="198"/>
      <c r="H48" s="196"/>
      <c r="I48" s="158"/>
      <c r="J48" s="199"/>
      <c r="K48" s="200"/>
      <c r="L48" s="201"/>
      <c r="M48" s="206"/>
      <c r="N48" s="206" t="s">
        <v>582</v>
      </c>
      <c r="O48" s="207" t="s">
        <v>580</v>
      </c>
      <c r="P48" s="464">
        <f>IFERROR(SUM(S17:S44),0)</f>
        <v>0</v>
      </c>
      <c r="Q48" s="465"/>
      <c r="R48" s="156"/>
      <c r="S48" s="157"/>
      <c r="T48" s="157"/>
    </row>
    <row r="49" spans="1:20" ht="15" x14ac:dyDescent="0.2">
      <c r="A49" s="211"/>
      <c r="B49" s="197"/>
      <c r="C49" s="197"/>
      <c r="D49" s="197"/>
      <c r="E49" s="210"/>
      <c r="F49" s="197"/>
      <c r="G49" s="198"/>
      <c r="H49" s="196"/>
      <c r="I49" s="158"/>
      <c r="J49" s="199"/>
      <c r="K49" s="200"/>
      <c r="L49" s="201"/>
      <c r="M49" s="444" t="s">
        <v>583</v>
      </c>
      <c r="N49" s="445"/>
      <c r="O49" s="207"/>
      <c r="P49" s="446">
        <f>P46</f>
        <v>0</v>
      </c>
      <c r="Q49" s="447"/>
      <c r="R49" s="156"/>
      <c r="S49" s="157"/>
      <c r="T49" s="157"/>
    </row>
    <row r="50" spans="1:20" ht="15" x14ac:dyDescent="0.2">
      <c r="A50" s="211"/>
      <c r="B50" s="197"/>
      <c r="C50" s="197"/>
      <c r="D50" s="197"/>
      <c r="E50" s="210"/>
      <c r="F50" s="197"/>
      <c r="G50" s="198"/>
      <c r="H50" s="196"/>
      <c r="I50" s="158"/>
      <c r="J50" s="199"/>
      <c r="K50" s="200"/>
      <c r="L50" s="201"/>
      <c r="M50" s="448" t="s">
        <v>584</v>
      </c>
      <c r="N50" s="449"/>
      <c r="O50" s="207"/>
      <c r="P50" s="252"/>
      <c r="Q50" s="254"/>
      <c r="R50" s="156"/>
      <c r="S50" s="157"/>
      <c r="T50" s="157"/>
    </row>
    <row r="51" spans="1:20" ht="15" x14ac:dyDescent="0.2">
      <c r="A51" s="211"/>
      <c r="B51" s="197"/>
      <c r="C51" s="197"/>
      <c r="D51" s="197"/>
      <c r="E51" s="210"/>
      <c r="F51" s="197"/>
      <c r="G51" s="198"/>
      <c r="H51" s="196"/>
      <c r="I51" s="158"/>
      <c r="J51" s="199"/>
      <c r="K51" s="200"/>
      <c r="L51" s="201"/>
      <c r="M51" s="448" t="s">
        <v>585</v>
      </c>
      <c r="N51" s="449"/>
      <c r="O51" s="207"/>
      <c r="P51" s="252"/>
      <c r="Q51" s="254"/>
      <c r="R51" s="156"/>
      <c r="S51" s="157"/>
      <c r="T51" s="157"/>
    </row>
    <row r="52" spans="1:20" ht="15" x14ac:dyDescent="0.2">
      <c r="A52" s="211"/>
      <c r="B52" s="197"/>
      <c r="C52" s="197"/>
      <c r="D52" s="197"/>
      <c r="E52" s="210"/>
      <c r="F52" s="197"/>
      <c r="G52" s="198"/>
      <c r="H52" s="196"/>
      <c r="I52" s="158"/>
      <c r="J52" s="199"/>
      <c r="K52" s="200"/>
      <c r="L52" s="201"/>
      <c r="M52" s="212"/>
      <c r="N52" s="251" t="s">
        <v>586</v>
      </c>
      <c r="O52" s="207" t="s">
        <v>580</v>
      </c>
      <c r="P52" s="450">
        <f>SUM(U17:U44)</f>
        <v>0</v>
      </c>
      <c r="Q52" s="451"/>
      <c r="R52" s="156"/>
      <c r="S52" s="157"/>
      <c r="T52" s="157"/>
    </row>
    <row r="53" spans="1:20" ht="15" x14ac:dyDescent="0.2">
      <c r="A53" s="211"/>
      <c r="B53" s="197"/>
      <c r="C53" s="197"/>
      <c r="D53" s="197"/>
      <c r="E53" s="210"/>
      <c r="F53" s="197"/>
      <c r="G53" s="198"/>
      <c r="H53" s="196"/>
      <c r="I53" s="158"/>
      <c r="J53" s="199"/>
      <c r="K53" s="200"/>
      <c r="L53" s="201"/>
      <c r="M53" s="212"/>
      <c r="N53" s="251" t="s">
        <v>587</v>
      </c>
      <c r="O53" s="207"/>
      <c r="P53" s="450">
        <f>+P49-P52</f>
        <v>0</v>
      </c>
      <c r="Q53" s="451"/>
      <c r="R53" s="156"/>
      <c r="S53" s="157"/>
      <c r="T53" s="157"/>
    </row>
    <row r="54" spans="1:20" ht="15" x14ac:dyDescent="0.2">
      <c r="A54" s="211"/>
      <c r="B54" s="197"/>
      <c r="C54" s="197"/>
      <c r="D54" s="197"/>
      <c r="E54" s="197"/>
      <c r="F54" s="197"/>
      <c r="G54" s="197"/>
      <c r="H54" s="196"/>
      <c r="I54" s="158"/>
      <c r="J54" s="199"/>
      <c r="K54" s="200"/>
      <c r="L54" s="199"/>
      <c r="M54" s="213"/>
      <c r="N54" s="213" t="s">
        <v>588</v>
      </c>
      <c r="O54" s="200" t="s">
        <v>580</v>
      </c>
      <c r="P54" s="440">
        <f>'Авансовый отчет'!D26+'Авансовый отчет'!D27+'Авансовый отчет'!D28+'Авансовый отчет'!D29-'Travel &amp; Expense Claim'!P48:Q48</f>
        <v>0</v>
      </c>
      <c r="Q54" s="441"/>
      <c r="R54" s="156"/>
      <c r="S54" s="157"/>
      <c r="T54" s="157"/>
    </row>
    <row r="55" spans="1:20" ht="15" x14ac:dyDescent="0.2">
      <c r="A55" s="211"/>
      <c r="B55" s="197"/>
      <c r="C55" s="197"/>
      <c r="D55" s="197"/>
      <c r="E55" s="198"/>
      <c r="F55" s="198"/>
      <c r="G55" s="198"/>
      <c r="H55" s="196"/>
      <c r="I55" s="214"/>
      <c r="J55" s="215"/>
      <c r="K55" s="199"/>
      <c r="L55" s="216"/>
      <c r="M55" s="217"/>
      <c r="N55" s="217" t="s">
        <v>589</v>
      </c>
      <c r="O55" s="218"/>
      <c r="P55" s="219"/>
      <c r="Q55" s="220"/>
      <c r="R55" s="156"/>
      <c r="S55" s="157"/>
      <c r="T55" s="157"/>
    </row>
    <row r="56" spans="1:20" ht="15.75" thickBot="1" x14ac:dyDescent="0.25">
      <c r="A56" s="211"/>
      <c r="B56" s="197"/>
      <c r="C56" s="197"/>
      <c r="D56" s="197"/>
      <c r="E56" s="221"/>
      <c r="F56" s="221"/>
      <c r="G56" s="221"/>
      <c r="H56" s="196"/>
      <c r="I56" s="222"/>
      <c r="J56" s="199"/>
      <c r="K56" s="200"/>
      <c r="L56" s="199"/>
      <c r="M56" s="223"/>
      <c r="N56" s="223" t="s">
        <v>590</v>
      </c>
      <c r="O56" s="224"/>
      <c r="P56" s="442">
        <f>P46-P47-P48-P54</f>
        <v>0</v>
      </c>
      <c r="Q56" s="443"/>
      <c r="R56" s="156"/>
      <c r="S56" s="157"/>
      <c r="T56" s="157"/>
    </row>
    <row r="57" spans="1:20" ht="16.5" thickBot="1" x14ac:dyDescent="0.25">
      <c r="A57" s="370" t="s">
        <v>1545</v>
      </c>
      <c r="B57" s="225"/>
      <c r="C57" s="225"/>
      <c r="D57" s="226"/>
      <c r="E57" s="226"/>
      <c r="F57" s="226"/>
      <c r="G57" s="226"/>
      <c r="H57" s="227"/>
      <c r="I57" s="228"/>
      <c r="J57" s="229"/>
      <c r="K57" s="229"/>
      <c r="L57" s="229"/>
      <c r="M57" s="229"/>
      <c r="N57" s="229"/>
      <c r="O57" s="229"/>
      <c r="P57" s="230"/>
      <c r="Q57" s="231"/>
      <c r="R57" s="232"/>
      <c r="S57" s="233"/>
      <c r="T57" s="233"/>
    </row>
    <row r="59" spans="1:20" x14ac:dyDescent="0.2">
      <c r="P59" s="235"/>
      <c r="Q59" s="236"/>
    </row>
    <row r="61" spans="1:20" x14ac:dyDescent="0.2">
      <c r="Q61" s="236"/>
    </row>
  </sheetData>
  <sheetProtection formatCells="0" formatColumns="0" formatRows="0"/>
  <protectedRanges>
    <protectedRange password="83AF" sqref="D4:E8 P54:Q54 H4:O8 F48:F53 L37:L44 O37:P44 H17:I44 D17:E44" name="Fields editable_2"/>
    <protectedRange password="83AF" sqref="B17:C44" name="Fields editable_1_1"/>
    <protectedRange password="83AF" sqref="K18:K44 L18:L36 O18:O36 M18:N44 K17:O17" name="Fields editable_2_1"/>
    <protectedRange password="83AF" sqref="B15:B16 D15:E16 H15:I16 K15:P15 K16:O16 P16:P36" name="Fields editable_2_2"/>
    <protectedRange password="83AF" sqref="C15:C16" name="Fields editable_1_1_1"/>
  </protectedRanges>
  <dataConsolidate/>
  <mergeCells count="37">
    <mergeCell ref="B6:C6"/>
    <mergeCell ref="D6:E6"/>
    <mergeCell ref="F6:G6"/>
    <mergeCell ref="H6:L6"/>
    <mergeCell ref="B5:C5"/>
    <mergeCell ref="D5:E5"/>
    <mergeCell ref="F5:G5"/>
    <mergeCell ref="H5:L5"/>
    <mergeCell ref="A1:R1"/>
    <mergeCell ref="B4:C4"/>
    <mergeCell ref="D4:E4"/>
    <mergeCell ref="F4:G4"/>
    <mergeCell ref="H4:L4"/>
    <mergeCell ref="N4:Q4"/>
    <mergeCell ref="P46:Q46"/>
    <mergeCell ref="P47:Q47"/>
    <mergeCell ref="P48:Q48"/>
    <mergeCell ref="N5:Q5"/>
    <mergeCell ref="N6:Q6"/>
    <mergeCell ref="B8:C8"/>
    <mergeCell ref="D8:E8"/>
    <mergeCell ref="F8:G8"/>
    <mergeCell ref="H8:L8"/>
    <mergeCell ref="N8:Q8"/>
    <mergeCell ref="B7:C7"/>
    <mergeCell ref="D7:E7"/>
    <mergeCell ref="F7:G7"/>
    <mergeCell ref="H7:L7"/>
    <mergeCell ref="N7:Q7"/>
    <mergeCell ref="P54:Q54"/>
    <mergeCell ref="P56:Q56"/>
    <mergeCell ref="M49:N49"/>
    <mergeCell ref="P49:Q49"/>
    <mergeCell ref="M51:N51"/>
    <mergeCell ref="P52:Q52"/>
    <mergeCell ref="P53:Q53"/>
    <mergeCell ref="M50:N50"/>
  </mergeCells>
  <dataValidations count="7">
    <dataValidation allowBlank="1" showInputMessage="1" sqref="Q45 Q57 J17:O44 N15:O16 J15:K16 F15:H44" xr:uid="{00000000-0002-0000-0500-000000000000}"/>
    <dataValidation type="list" allowBlank="1" showInputMessage="1" sqref="E15:E44" xr:uid="{00000000-0002-0000-0500-000001000000}">
      <formula1>Cost_Center</formula1>
    </dataValidation>
    <dataValidation type="list" allowBlank="1" showInputMessage="1" showErrorMessage="1" sqref="I17:I44" xr:uid="{00000000-0002-0000-0500-000002000000}">
      <formula1>TaxCode</formula1>
    </dataValidation>
    <dataValidation type="list" allowBlank="1" showInputMessage="1" showErrorMessage="1" sqref="P15:P16" xr:uid="{00000000-0002-0000-0500-000003000000}">
      <formula1>"Yes,No"</formula1>
    </dataValidation>
    <dataValidation type="whole" operator="greaterThan" allowBlank="1" showInputMessage="1" showErrorMessage="1" errorTitle="Error" error="only positv values allowed" sqref="L15:L16" xr:uid="{00000000-0002-0000-0500-000004000000}">
      <formula1>0</formula1>
    </dataValidation>
    <dataValidation type="list" allowBlank="1" showInputMessage="1" showErrorMessage="1" sqref="P17:P44" xr:uid="{00000000-0002-0000-0500-000005000000}">
      <formula1>YesNo</formula1>
    </dataValidation>
    <dataValidation type="list" allowBlank="1" showInputMessage="1" showErrorMessage="1" sqref="C17:C44" xr:uid="{00000000-0002-0000-0500-000006000000}">
      <formula1>ExpenseType</formula1>
    </dataValidation>
  </dataValidations>
  <pageMargins left="0.59055118110236227" right="0.19685039370078741" top="0.98425196850393704" bottom="0.39370078740157483" header="0.31496062992125984" footer="0.31496062992125984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 macro="[0]!CheckBox2_Click">
                <anchor moveWithCells="1">
                  <from>
                    <xdr:col>2</xdr:col>
                    <xdr:colOff>1924050</xdr:colOff>
                    <xdr:row>7</xdr:row>
                    <xdr:rowOff>219075</xdr:rowOff>
                  </from>
                  <to>
                    <xdr:col>3</xdr:col>
                    <xdr:colOff>228600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G41"/>
  <sheetViews>
    <sheetView workbookViewId="0">
      <selection activeCell="B4" sqref="B4"/>
    </sheetView>
  </sheetViews>
  <sheetFormatPr defaultColWidth="12.5703125" defaultRowHeight="12.75" x14ac:dyDescent="0.2"/>
  <cols>
    <col min="1" max="5" width="12.5703125" style="256"/>
    <col min="6" max="6" width="26" style="256" customWidth="1"/>
    <col min="7" max="16384" width="12.5703125" style="256"/>
  </cols>
  <sheetData>
    <row r="1" spans="1:6" ht="15.75" x14ac:dyDescent="0.25">
      <c r="A1" s="255" t="s">
        <v>617</v>
      </c>
      <c r="B1" s="255" t="s">
        <v>559</v>
      </c>
      <c r="C1" s="255" t="s">
        <v>618</v>
      </c>
      <c r="D1" s="255" t="s">
        <v>619</v>
      </c>
      <c r="E1" s="255" t="s">
        <v>620</v>
      </c>
      <c r="F1" s="255" t="s">
        <v>621</v>
      </c>
    </row>
    <row r="2" spans="1:6" ht="15" x14ac:dyDescent="0.2">
      <c r="A2" s="371">
        <v>16120020</v>
      </c>
      <c r="B2" s="371"/>
      <c r="C2" s="372">
        <f>-'Travel &amp; Expense Claim'!P48</f>
        <v>0</v>
      </c>
      <c r="D2" s="373"/>
      <c r="E2" s="371"/>
      <c r="F2" s="371" t="str">
        <f>IF('[2]Travel &amp; Expense Claim'!D5=0,"",'[2]Travel &amp; Expense Claim'!D5)</f>
        <v/>
      </c>
    </row>
    <row r="3" spans="1:6" ht="15" x14ac:dyDescent="0.2">
      <c r="A3" s="371">
        <v>18100130</v>
      </c>
      <c r="B3" s="371"/>
      <c r="C3" s="372">
        <f>'Travel &amp; Expense Claim'!P47</f>
        <v>0</v>
      </c>
      <c r="D3" s="373"/>
      <c r="E3" s="371"/>
      <c r="F3" s="371" t="str">
        <f>IF('[2]Travel &amp; Expense Claim'!D5=0,"",'[2]Travel &amp; Expense Claim'!D5)</f>
        <v/>
      </c>
    </row>
    <row r="4" spans="1:6" x14ac:dyDescent="0.2">
      <c r="A4" s="256" t="str">
        <f>IF('Travel &amp; Expense Claim'!F17="","",'Travel &amp; Expense Claim'!F17)</f>
        <v/>
      </c>
      <c r="B4" s="256" t="str">
        <f>IF('Travel &amp; Expense Claim'!E17="","",'Travel &amp; Expense Claim'!E17)</f>
        <v/>
      </c>
      <c r="C4" s="257" t="str">
        <f>IF('Travel &amp; Expense Claim'!M17="","",'Travel &amp; Expense Claim'!M17)</f>
        <v/>
      </c>
      <c r="D4" s="258" t="str">
        <f>IF(A4="","","M0")</f>
        <v/>
      </c>
      <c r="E4" s="256" t="str">
        <f>IF(A4="","",'Travel &amp; Expense Claim'!H17)</f>
        <v/>
      </c>
      <c r="F4" s="256" t="str">
        <f>CONCATENATE( 'Travel &amp; Expense Claim'!C17," ",'Travel &amp; Expense Claim'!D17)</f>
        <v xml:space="preserve"> </v>
      </c>
    </row>
    <row r="5" spans="1:6" x14ac:dyDescent="0.2">
      <c r="A5" s="256" t="str">
        <f>IF('Travel &amp; Expense Claim'!F18="","",'Travel &amp; Expense Claim'!F18)</f>
        <v/>
      </c>
      <c r="B5" s="256" t="str">
        <f>IF('Travel &amp; Expense Claim'!E18="","",'Travel &amp; Expense Claim'!E18)</f>
        <v/>
      </c>
      <c r="C5" s="257" t="str">
        <f>IF('Travel &amp; Expense Claim'!M18="","",'Travel &amp; Expense Claim'!M18)</f>
        <v/>
      </c>
      <c r="D5" s="256" t="str">
        <f t="shared" ref="D5:D23" si="0">IF(A5="","","M0")</f>
        <v/>
      </c>
      <c r="E5" s="256" t="str">
        <f>IF(A5="","",'Travel &amp; Expense Claim'!H18)</f>
        <v/>
      </c>
      <c r="F5" s="256" t="str">
        <f>CONCATENATE( 'Travel &amp; Expense Claim'!C18," ",'Travel &amp; Expense Claim'!D18)</f>
        <v xml:space="preserve"> </v>
      </c>
    </row>
    <row r="6" spans="1:6" x14ac:dyDescent="0.2">
      <c r="A6" s="256" t="str">
        <f>IF('Travel &amp; Expense Claim'!F19="","",'Travel &amp; Expense Claim'!F19)</f>
        <v/>
      </c>
      <c r="B6" s="256" t="str">
        <f>IF('Travel &amp; Expense Claim'!E19="","",'Travel &amp; Expense Claim'!E19)</f>
        <v/>
      </c>
      <c r="C6" s="257" t="str">
        <f>IF('Travel &amp; Expense Claim'!M19="","",'Travel &amp; Expense Claim'!M19)</f>
        <v/>
      </c>
      <c r="D6" s="256" t="str">
        <f t="shared" si="0"/>
        <v/>
      </c>
      <c r="E6" s="256" t="str">
        <f>IF(A6="","",'Travel &amp; Expense Claim'!H19)</f>
        <v/>
      </c>
      <c r="F6" s="256" t="str">
        <f>CONCATENATE( 'Travel &amp; Expense Claim'!C19," ",'Travel &amp; Expense Claim'!D19)</f>
        <v xml:space="preserve"> </v>
      </c>
    </row>
    <row r="7" spans="1:6" x14ac:dyDescent="0.2">
      <c r="A7" s="256" t="str">
        <f>IF('Travel &amp; Expense Claim'!F20="","",'Travel &amp; Expense Claim'!F20)</f>
        <v/>
      </c>
      <c r="B7" s="256" t="str">
        <f>IF('Travel &amp; Expense Claim'!E20="","",'Travel &amp; Expense Claim'!E20)</f>
        <v/>
      </c>
      <c r="C7" s="257" t="str">
        <f>IF('Travel &amp; Expense Claim'!M20="","",'Travel &amp; Expense Claim'!M20)</f>
        <v/>
      </c>
      <c r="D7" s="256" t="str">
        <f t="shared" si="0"/>
        <v/>
      </c>
      <c r="E7" s="256" t="str">
        <f>IF(A7="","",'Travel &amp; Expense Claim'!H20)</f>
        <v/>
      </c>
      <c r="F7" s="256" t="str">
        <f>CONCATENATE( 'Travel &amp; Expense Claim'!C20," ",'Travel &amp; Expense Claim'!D20)</f>
        <v xml:space="preserve"> </v>
      </c>
    </row>
    <row r="8" spans="1:6" x14ac:dyDescent="0.2">
      <c r="A8" s="256" t="str">
        <f>IF('Travel &amp; Expense Claim'!F21="","",'Travel &amp; Expense Claim'!F21)</f>
        <v/>
      </c>
      <c r="B8" s="256" t="str">
        <f>IF('Travel &amp; Expense Claim'!E21="","",'Travel &amp; Expense Claim'!E21)</f>
        <v/>
      </c>
      <c r="C8" s="257" t="str">
        <f>IF('Travel &amp; Expense Claim'!M21="","",'Travel &amp; Expense Claim'!M21)</f>
        <v/>
      </c>
      <c r="D8" s="256" t="str">
        <f t="shared" si="0"/>
        <v/>
      </c>
      <c r="E8" s="256" t="str">
        <f>IF(A8="","",'Travel &amp; Expense Claim'!H21)</f>
        <v/>
      </c>
      <c r="F8" s="256" t="str">
        <f>CONCATENATE( 'Travel &amp; Expense Claim'!C21," ",'Travel &amp; Expense Claim'!D21)</f>
        <v xml:space="preserve"> </v>
      </c>
    </row>
    <row r="9" spans="1:6" x14ac:dyDescent="0.2">
      <c r="A9" s="256" t="str">
        <f>IF('Travel &amp; Expense Claim'!F22="","",'Travel &amp; Expense Claim'!F22)</f>
        <v/>
      </c>
      <c r="B9" s="256" t="str">
        <f>IF('Travel &amp; Expense Claim'!E22="","",'Travel &amp; Expense Claim'!E22)</f>
        <v/>
      </c>
      <c r="C9" s="257" t="str">
        <f>IF('Travel &amp; Expense Claim'!M22="","",'Travel &amp; Expense Claim'!M22)</f>
        <v/>
      </c>
      <c r="D9" s="256" t="str">
        <f t="shared" si="0"/>
        <v/>
      </c>
      <c r="E9" s="256" t="str">
        <f>IF(A9="","",'Travel &amp; Expense Claim'!H22)</f>
        <v/>
      </c>
      <c r="F9" s="256" t="str">
        <f>CONCATENATE( 'Travel &amp; Expense Claim'!C22," ",'Travel &amp; Expense Claim'!D22)</f>
        <v xml:space="preserve"> </v>
      </c>
    </row>
    <row r="10" spans="1:6" x14ac:dyDescent="0.2">
      <c r="A10" s="256" t="str">
        <f>IF('Travel &amp; Expense Claim'!F23="","",'Travel &amp; Expense Claim'!F23)</f>
        <v/>
      </c>
      <c r="B10" s="256" t="str">
        <f>IF('Travel &amp; Expense Claim'!E23="","",'Travel &amp; Expense Claim'!E23)</f>
        <v/>
      </c>
      <c r="C10" s="257" t="str">
        <f>IF('Travel &amp; Expense Claim'!M23="","",'Travel &amp; Expense Claim'!M23)</f>
        <v/>
      </c>
      <c r="D10" s="256" t="str">
        <f t="shared" si="0"/>
        <v/>
      </c>
      <c r="E10" s="256" t="str">
        <f>IF(A10="","",'Travel &amp; Expense Claim'!H23)</f>
        <v/>
      </c>
      <c r="F10" s="256" t="str">
        <f>CONCATENATE( 'Travel &amp; Expense Claim'!C23," ",'Travel &amp; Expense Claim'!D23)</f>
        <v xml:space="preserve"> </v>
      </c>
    </row>
    <row r="11" spans="1:6" x14ac:dyDescent="0.2">
      <c r="A11" s="256" t="str">
        <f>IF('Travel &amp; Expense Claim'!F24="","",'Travel &amp; Expense Claim'!F24)</f>
        <v/>
      </c>
      <c r="B11" s="256" t="str">
        <f>IF('Travel &amp; Expense Claim'!E24="","",'Travel &amp; Expense Claim'!E24)</f>
        <v/>
      </c>
      <c r="C11" s="257" t="str">
        <f>IF('Travel &amp; Expense Claim'!M24="","",'Travel &amp; Expense Claim'!M24)</f>
        <v/>
      </c>
      <c r="D11" s="256" t="str">
        <f t="shared" si="0"/>
        <v/>
      </c>
      <c r="E11" s="256" t="str">
        <f>IF(A11="","",'Travel &amp; Expense Claim'!H24)</f>
        <v/>
      </c>
      <c r="F11" s="256" t="str">
        <f>CONCATENATE( 'Travel &amp; Expense Claim'!C24," ",'Travel &amp; Expense Claim'!D24)</f>
        <v xml:space="preserve"> </v>
      </c>
    </row>
    <row r="12" spans="1:6" x14ac:dyDescent="0.2">
      <c r="A12" s="256" t="str">
        <f>IF('Travel &amp; Expense Claim'!F25="","",'Travel &amp; Expense Claim'!F25)</f>
        <v/>
      </c>
      <c r="B12" s="256" t="str">
        <f>IF('Travel &amp; Expense Claim'!E25="","",'Travel &amp; Expense Claim'!E25)</f>
        <v/>
      </c>
      <c r="C12" s="257" t="str">
        <f>IF('Travel &amp; Expense Claim'!M25="","",'Travel &amp; Expense Claim'!M25)</f>
        <v/>
      </c>
      <c r="D12" s="256" t="str">
        <f t="shared" si="0"/>
        <v/>
      </c>
      <c r="E12" s="256" t="str">
        <f>IF(A12="","",'Travel &amp; Expense Claim'!H25)</f>
        <v/>
      </c>
      <c r="F12" s="256" t="str">
        <f>CONCATENATE( 'Travel &amp; Expense Claim'!C25," ",'Travel &amp; Expense Claim'!D25)</f>
        <v xml:space="preserve"> </v>
      </c>
    </row>
    <row r="13" spans="1:6" x14ac:dyDescent="0.2">
      <c r="A13" s="256" t="str">
        <f>IF('Travel &amp; Expense Claim'!F26="","",'Travel &amp; Expense Claim'!F26)</f>
        <v/>
      </c>
      <c r="B13" s="256" t="str">
        <f>IF('Travel &amp; Expense Claim'!E26="","",'Travel &amp; Expense Claim'!E26)</f>
        <v/>
      </c>
      <c r="C13" s="257" t="str">
        <f>IF('Travel &amp; Expense Claim'!M26="","",'Travel &amp; Expense Claim'!M26)</f>
        <v/>
      </c>
      <c r="D13" s="256" t="str">
        <f t="shared" si="0"/>
        <v/>
      </c>
      <c r="E13" s="256" t="str">
        <f>IF(A13="","",'Travel &amp; Expense Claim'!H26)</f>
        <v/>
      </c>
      <c r="F13" s="256" t="str">
        <f>CONCATENATE( 'Travel &amp; Expense Claim'!C26," ",'Travel &amp; Expense Claim'!D26)</f>
        <v xml:space="preserve"> </v>
      </c>
    </row>
    <row r="14" spans="1:6" x14ac:dyDescent="0.2">
      <c r="A14" s="256" t="str">
        <f>IF('Travel &amp; Expense Claim'!F27="","",'Travel &amp; Expense Claim'!F27)</f>
        <v/>
      </c>
      <c r="B14" s="256" t="str">
        <f>IF('Travel &amp; Expense Claim'!E27="","",'Travel &amp; Expense Claim'!E27)</f>
        <v/>
      </c>
      <c r="C14" s="257" t="str">
        <f>IF('Travel &amp; Expense Claim'!M27="","",'Travel &amp; Expense Claim'!M27)</f>
        <v/>
      </c>
      <c r="D14" s="256" t="str">
        <f t="shared" si="0"/>
        <v/>
      </c>
      <c r="E14" s="256" t="str">
        <f>IF(A14="","",'Travel &amp; Expense Claim'!H27)</f>
        <v/>
      </c>
      <c r="F14" s="256" t="str">
        <f>CONCATENATE( 'Travel &amp; Expense Claim'!C27," ",'Travel &amp; Expense Claim'!D27)</f>
        <v xml:space="preserve"> </v>
      </c>
    </row>
    <row r="15" spans="1:6" x14ac:dyDescent="0.2">
      <c r="A15" s="256" t="str">
        <f>IF('Travel &amp; Expense Claim'!F28="","",'Travel &amp; Expense Claim'!F28)</f>
        <v/>
      </c>
      <c r="B15" s="256" t="str">
        <f>IF('Travel &amp; Expense Claim'!E28="","",'Travel &amp; Expense Claim'!E28)</f>
        <v/>
      </c>
      <c r="C15" s="257" t="str">
        <f>IF('Travel &amp; Expense Claim'!M28="","",'Travel &amp; Expense Claim'!M28)</f>
        <v/>
      </c>
      <c r="D15" s="256" t="str">
        <f t="shared" si="0"/>
        <v/>
      </c>
      <c r="E15" s="256" t="str">
        <f>IF(A15="","",'Travel &amp; Expense Claim'!H28)</f>
        <v/>
      </c>
      <c r="F15" s="256" t="str">
        <f>CONCATENATE( 'Travel &amp; Expense Claim'!C28," ",'Travel &amp; Expense Claim'!D28)</f>
        <v xml:space="preserve"> </v>
      </c>
    </row>
    <row r="16" spans="1:6" x14ac:dyDescent="0.2">
      <c r="A16" s="256" t="str">
        <f>IF('Travel &amp; Expense Claim'!F29="","",'Travel &amp; Expense Claim'!F29)</f>
        <v/>
      </c>
      <c r="B16" s="256" t="str">
        <f>IF('Travel &amp; Expense Claim'!E29="","",'Travel &amp; Expense Claim'!E29)</f>
        <v/>
      </c>
      <c r="C16" s="257" t="str">
        <f>IF('Travel &amp; Expense Claim'!M29="","",'Travel &amp; Expense Claim'!M29)</f>
        <v/>
      </c>
      <c r="D16" s="256" t="str">
        <f t="shared" si="0"/>
        <v/>
      </c>
      <c r="E16" s="256" t="str">
        <f>IF(A16="","",'Travel &amp; Expense Claim'!H29)</f>
        <v/>
      </c>
      <c r="F16" s="256" t="str">
        <f>CONCATENATE( 'Travel &amp; Expense Claim'!C29," ",'Travel &amp; Expense Claim'!D29)</f>
        <v xml:space="preserve"> </v>
      </c>
    </row>
    <row r="17" spans="1:7" x14ac:dyDescent="0.2">
      <c r="A17" s="256" t="str">
        <f>IF('Travel &amp; Expense Claim'!F30="","",'Travel &amp; Expense Claim'!F30)</f>
        <v/>
      </c>
      <c r="B17" s="256" t="str">
        <f>IF('Travel &amp; Expense Claim'!E30="","",'Travel &amp; Expense Claim'!E30)</f>
        <v/>
      </c>
      <c r="C17" s="257" t="str">
        <f>IF('Travel &amp; Expense Claim'!M30="","",'Travel &amp; Expense Claim'!M30)</f>
        <v/>
      </c>
      <c r="D17" s="256" t="str">
        <f t="shared" si="0"/>
        <v/>
      </c>
      <c r="E17" s="256" t="str">
        <f>IF(A17="","",'Travel &amp; Expense Claim'!H30)</f>
        <v/>
      </c>
      <c r="F17" s="256" t="str">
        <f>CONCATENATE( 'Travel &amp; Expense Claim'!C30," ",'Travel &amp; Expense Claim'!D30)</f>
        <v xml:space="preserve"> </v>
      </c>
      <c r="G17" s="258"/>
    </row>
    <row r="18" spans="1:7" x14ac:dyDescent="0.2">
      <c r="A18" s="256" t="str">
        <f>IF('Travel &amp; Expense Claim'!F31="","",'Travel &amp; Expense Claim'!F31)</f>
        <v/>
      </c>
      <c r="B18" s="256" t="str">
        <f>IF('Travel &amp; Expense Claim'!E31="","",'Travel &amp; Expense Claim'!E31)</f>
        <v/>
      </c>
      <c r="C18" s="257" t="str">
        <f>IF('Travel &amp; Expense Claim'!M31="","",'Travel &amp; Expense Claim'!M31)</f>
        <v/>
      </c>
      <c r="D18" s="256" t="str">
        <f t="shared" si="0"/>
        <v/>
      </c>
      <c r="E18" s="256" t="str">
        <f>IF(A18="","",'Travel &amp; Expense Claim'!H31)</f>
        <v/>
      </c>
      <c r="F18" s="256" t="str">
        <f>CONCATENATE( 'Travel &amp; Expense Claim'!C31," ",'Travel &amp; Expense Claim'!D31)</f>
        <v xml:space="preserve"> </v>
      </c>
    </row>
    <row r="19" spans="1:7" x14ac:dyDescent="0.2">
      <c r="A19" s="256" t="str">
        <f>IF('Travel &amp; Expense Claim'!F32="","",'Travel &amp; Expense Claim'!F32)</f>
        <v/>
      </c>
      <c r="B19" s="256" t="str">
        <f>IF('Travel &amp; Expense Claim'!E32="","",'Travel &amp; Expense Claim'!E32)</f>
        <v/>
      </c>
      <c r="C19" s="257" t="str">
        <f>IF('Travel &amp; Expense Claim'!M32="","",'Travel &amp; Expense Claim'!M32)</f>
        <v/>
      </c>
      <c r="D19" s="256" t="str">
        <f t="shared" si="0"/>
        <v/>
      </c>
      <c r="E19" s="256" t="str">
        <f>IF(A19="","",'Travel &amp; Expense Claim'!H32)</f>
        <v/>
      </c>
      <c r="F19" s="256" t="str">
        <f>CONCATENATE( 'Travel &amp; Expense Claim'!C32," ",'Travel &amp; Expense Claim'!D32)</f>
        <v xml:space="preserve"> </v>
      </c>
    </row>
    <row r="20" spans="1:7" x14ac:dyDescent="0.2">
      <c r="A20" s="256" t="str">
        <f>IF('Travel &amp; Expense Claim'!F33="","",'Travel &amp; Expense Claim'!F33)</f>
        <v/>
      </c>
      <c r="B20" s="256" t="str">
        <f>IF('Travel &amp; Expense Claim'!E33="","",'Travel &amp; Expense Claim'!E33)</f>
        <v/>
      </c>
      <c r="C20" s="257" t="str">
        <f>IF('Travel &amp; Expense Claim'!M33="","",'Travel &amp; Expense Claim'!M33)</f>
        <v/>
      </c>
      <c r="D20" s="256" t="str">
        <f t="shared" si="0"/>
        <v/>
      </c>
      <c r="E20" s="256" t="str">
        <f>IF(A20="","",'Travel &amp; Expense Claim'!H33)</f>
        <v/>
      </c>
      <c r="F20" s="256" t="str">
        <f>CONCATENATE( 'Travel &amp; Expense Claim'!C33," ",'Travel &amp; Expense Claim'!D33)</f>
        <v xml:space="preserve"> </v>
      </c>
    </row>
    <row r="21" spans="1:7" x14ac:dyDescent="0.2">
      <c r="A21" s="256" t="str">
        <f>IF('Travel &amp; Expense Claim'!F34="","",'Travel &amp; Expense Claim'!F34)</f>
        <v/>
      </c>
      <c r="B21" s="256" t="str">
        <f>IF('Travel &amp; Expense Claim'!E34="","",'Travel &amp; Expense Claim'!E34)</f>
        <v/>
      </c>
      <c r="C21" s="257" t="str">
        <f>IF('Travel &amp; Expense Claim'!M34="","",'Travel &amp; Expense Claim'!M34)</f>
        <v/>
      </c>
      <c r="D21" s="256" t="str">
        <f t="shared" si="0"/>
        <v/>
      </c>
      <c r="E21" s="256" t="str">
        <f>IF(A21="","",'Travel &amp; Expense Claim'!H34)</f>
        <v/>
      </c>
      <c r="F21" s="256" t="str">
        <f>CONCATENATE( 'Travel &amp; Expense Claim'!C34," ",'Travel &amp; Expense Claim'!D34)</f>
        <v xml:space="preserve"> </v>
      </c>
    </row>
    <row r="22" spans="1:7" x14ac:dyDescent="0.2">
      <c r="A22" s="256" t="str">
        <f>IF('Travel &amp; Expense Claim'!F35="","",'Travel &amp; Expense Claim'!F35)</f>
        <v/>
      </c>
      <c r="B22" s="256" t="str">
        <f>IF('Travel &amp; Expense Claim'!E35="","",'Travel &amp; Expense Claim'!E35)</f>
        <v/>
      </c>
      <c r="C22" s="257" t="str">
        <f>IF('Travel &amp; Expense Claim'!M35="","",'Travel &amp; Expense Claim'!M35)</f>
        <v/>
      </c>
      <c r="D22" s="256" t="str">
        <f t="shared" si="0"/>
        <v/>
      </c>
      <c r="E22" s="256" t="str">
        <f>IF(A22="","",'Travel &amp; Expense Claim'!H35)</f>
        <v/>
      </c>
      <c r="F22" s="256" t="str">
        <f>CONCATENATE( 'Travel &amp; Expense Claim'!C35," ",'Travel &amp; Expense Claim'!D35)</f>
        <v xml:space="preserve"> </v>
      </c>
    </row>
    <row r="23" spans="1:7" x14ac:dyDescent="0.2">
      <c r="A23" s="256" t="str">
        <f>IF('Travel &amp; Expense Claim'!F36="","",'Travel &amp; Expense Claim'!F36)</f>
        <v/>
      </c>
      <c r="B23" s="256" t="str">
        <f>IF('Travel &amp; Expense Claim'!E36="","",'Travel &amp; Expense Claim'!E36)</f>
        <v/>
      </c>
      <c r="C23" s="257" t="str">
        <f>IF('Travel &amp; Expense Claim'!M36="","",'Travel &amp; Expense Claim'!M36)</f>
        <v/>
      </c>
      <c r="D23" s="256" t="str">
        <f t="shared" si="0"/>
        <v/>
      </c>
      <c r="E23" s="256" t="str">
        <f>IF(A23="","",'Travel &amp; Expense Claim'!H36)</f>
        <v/>
      </c>
      <c r="F23" s="256" t="str">
        <f>CONCATENATE( 'Travel &amp; Expense Claim'!C36," ",'Travel &amp; Expense Claim'!D36)</f>
        <v xml:space="preserve"> </v>
      </c>
    </row>
    <row r="24" spans="1:7" x14ac:dyDescent="0.2">
      <c r="F24" s="256" t="str">
        <f>CONCATENATE( 'Travel &amp; Expense Claim'!C37," ",'Travel &amp; Expense Claim'!D37)</f>
        <v xml:space="preserve"> </v>
      </c>
    </row>
    <row r="25" spans="1:7" x14ac:dyDescent="0.2">
      <c r="F25" s="256" t="str">
        <f>CONCATENATE( 'Travel &amp; Expense Claim'!C38," ",'Travel &amp; Expense Claim'!D38)</f>
        <v xml:space="preserve"> </v>
      </c>
    </row>
    <row r="26" spans="1:7" x14ac:dyDescent="0.2">
      <c r="F26" s="256" t="str">
        <f>CONCATENATE( 'Travel &amp; Expense Claim'!C39," ",'Travel &amp; Expense Claim'!D39)</f>
        <v xml:space="preserve"> </v>
      </c>
    </row>
    <row r="27" spans="1:7" x14ac:dyDescent="0.2">
      <c r="F27" s="256" t="str">
        <f>CONCATENATE( 'Travel &amp; Expense Claim'!C40," ",'Travel &amp; Expense Claim'!D40)</f>
        <v xml:space="preserve"> </v>
      </c>
    </row>
    <row r="28" spans="1:7" x14ac:dyDescent="0.2">
      <c r="F28" s="256" t="str">
        <f>CONCATENATE( 'Travel &amp; Expense Claim'!C41," ",'Travel &amp; Expense Claim'!D41)</f>
        <v xml:space="preserve"> </v>
      </c>
    </row>
    <row r="29" spans="1:7" x14ac:dyDescent="0.2">
      <c r="F29" s="256" t="str">
        <f>CONCATENATE( 'Travel &amp; Expense Claim'!C42," ",'Travel &amp; Expense Claim'!D42)</f>
        <v xml:space="preserve"> </v>
      </c>
    </row>
    <row r="30" spans="1:7" x14ac:dyDescent="0.2">
      <c r="F30" s="256" t="str">
        <f>CONCATENATE( 'Travel &amp; Expense Claim'!C43," ",'Travel &amp; Expense Claim'!D43)</f>
        <v xml:space="preserve"> </v>
      </c>
    </row>
    <row r="31" spans="1:7" x14ac:dyDescent="0.2">
      <c r="F31" s="256" t="str">
        <f>CONCATENATE( 'Travel &amp; Expense Claim'!C44," ",'Travel &amp; Expense Claim'!D44)</f>
        <v xml:space="preserve"> </v>
      </c>
    </row>
    <row r="32" spans="1:7" x14ac:dyDescent="0.2">
      <c r="F32" s="256" t="str">
        <f>CONCATENATE( 'Travel &amp; Expense Claim'!C45," ",'Travel &amp; Expense Claim'!D45)</f>
        <v xml:space="preserve"> </v>
      </c>
    </row>
    <row r="33" spans="6:6" x14ac:dyDescent="0.2">
      <c r="F33" s="256" t="str">
        <f>CONCATENATE( 'Travel &amp; Expense Claim'!C46," ",'Travel &amp; Expense Claim'!D46)</f>
        <v xml:space="preserve"> </v>
      </c>
    </row>
    <row r="34" spans="6:6" x14ac:dyDescent="0.2">
      <c r="F34" s="256" t="str">
        <f>CONCATENATE( 'Travel &amp; Expense Claim'!C47," ",'Travel &amp; Expense Claim'!D47)</f>
        <v xml:space="preserve"> </v>
      </c>
    </row>
    <row r="35" spans="6:6" x14ac:dyDescent="0.2">
      <c r="F35" s="256" t="str">
        <f>CONCATENATE( 'Travel &amp; Expense Claim'!C48," ",'Travel &amp; Expense Claim'!D48)</f>
        <v xml:space="preserve"> </v>
      </c>
    </row>
    <row r="36" spans="6:6" x14ac:dyDescent="0.2">
      <c r="F36" s="256" t="str">
        <f>CONCATENATE( 'Travel &amp; Expense Claim'!C49," ",'Travel &amp; Expense Claim'!D49)</f>
        <v xml:space="preserve"> </v>
      </c>
    </row>
    <row r="37" spans="6:6" x14ac:dyDescent="0.2">
      <c r="F37" s="256" t="str">
        <f>CONCATENATE( 'Travel &amp; Expense Claim'!C50," ",'Travel &amp; Expense Claim'!D50)</f>
        <v xml:space="preserve"> </v>
      </c>
    </row>
    <row r="38" spans="6:6" x14ac:dyDescent="0.2">
      <c r="F38" s="256" t="str">
        <f>CONCATENATE( 'Travel &amp; Expense Claim'!C51," ",'Travel &amp; Expense Claim'!D51)</f>
        <v xml:space="preserve"> </v>
      </c>
    </row>
    <row r="39" spans="6:6" x14ac:dyDescent="0.2">
      <c r="F39" s="256" t="str">
        <f>CONCATENATE( 'Travel &amp; Expense Claim'!C52," ",'Travel &amp; Expense Claim'!D52)</f>
        <v xml:space="preserve"> </v>
      </c>
    </row>
    <row r="40" spans="6:6" x14ac:dyDescent="0.2">
      <c r="F40" s="256" t="str">
        <f>CONCATENATE( 'Travel &amp; Expense Claim'!C53," ",'Travel &amp; Expense Claim'!D53)</f>
        <v xml:space="preserve"> </v>
      </c>
    </row>
    <row r="41" spans="6:6" x14ac:dyDescent="0.2">
      <c r="F41" s="256" t="str">
        <f>CONCATENATE( 'Travel &amp; Expense Claim'!C54," ",'Travel &amp; Expense Claim'!D54)</f>
        <v xml:space="preserve"> </v>
      </c>
    </row>
  </sheetData>
  <sheetProtection formatCells="0" formatColumns="0" formatRows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B1"/>
  <sheetViews>
    <sheetView workbookViewId="0">
      <selection activeCell="A2" sqref="A2:G2"/>
    </sheetView>
  </sheetViews>
  <sheetFormatPr defaultRowHeight="12.75" x14ac:dyDescent="0.2"/>
  <cols>
    <col min="1" max="2" width="10.28515625" bestFit="1" customWidth="1"/>
    <col min="3" max="3" width="7.42578125" bestFit="1" customWidth="1"/>
    <col min="4" max="4" width="40.28515625" bestFit="1" customWidth="1"/>
    <col min="5" max="5" width="9" bestFit="1" customWidth="1"/>
  </cols>
  <sheetData>
    <row r="1" spans="1:2" x14ac:dyDescent="0.2">
      <c r="A1" s="129" t="s">
        <v>1546</v>
      </c>
      <c r="B1" s="127"/>
    </row>
  </sheetData>
  <sheetProtection formatCells="0" formatColumns="0" formatRows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A1:R11"/>
  <sheetViews>
    <sheetView workbookViewId="0">
      <selection activeCell="D21" sqref="D21"/>
    </sheetView>
  </sheetViews>
  <sheetFormatPr defaultRowHeight="12.75" x14ac:dyDescent="0.2"/>
  <cols>
    <col min="1" max="1" width="9.28515625" customWidth="1"/>
  </cols>
  <sheetData>
    <row r="1" spans="1:18" x14ac:dyDescent="0.2">
      <c r="A1" s="41">
        <f>'Авансовый отчет'!E71</f>
        <v>0</v>
      </c>
    </row>
    <row r="3" spans="1:18" x14ac:dyDescent="0.2">
      <c r="A3" s="39">
        <f>ROUNDDOWN(A1/100000,0)</f>
        <v>0</v>
      </c>
      <c r="B3" s="40">
        <f>ROUNDDOWN((A1-A3*100000)/10000,0)</f>
        <v>0</v>
      </c>
      <c r="C3" s="40">
        <f>ROUNDDOWN((A1-A3*100000-B3*10000)/1000,0)</f>
        <v>0</v>
      </c>
      <c r="D3" s="40">
        <f>ROUNDDOWN(($A$1-$A$3*100000-$B$3*10000-$C$3*1000)/100,0)</f>
        <v>0</v>
      </c>
      <c r="E3" s="40">
        <f>ROUNDDOWN(($A$1-$A$3*100000-$B$3*10000-$C$3*1000-D3*100)/10,0)</f>
        <v>0</v>
      </c>
      <c r="F3" s="40">
        <f>ROUNDDOWN(($A$1-$A$3*100000-$B$3*10000-$C$3*1000-$D$3*100-$E$3*10),0)</f>
        <v>0</v>
      </c>
      <c r="G3" s="40">
        <f>ROUNDDOWN(($A$1-$A$3*100000-$B$3*10000-$C$3*1000-$D$3*100-$E$3*10-$F$3)*10,0)</f>
        <v>0</v>
      </c>
      <c r="H3" s="40">
        <f>ROUND(($A$1-$A$3*100000-$B$3*10000-$C$3*1000-$D$3*100-$E$3*10-$F$3-$G$3/10)*100,0)</f>
        <v>0</v>
      </c>
      <c r="J3" s="8">
        <v>1</v>
      </c>
      <c r="K3" s="8" t="s">
        <v>15</v>
      </c>
      <c r="L3" s="8">
        <v>1</v>
      </c>
      <c r="M3" s="8" t="s">
        <v>16</v>
      </c>
      <c r="N3" s="8">
        <v>1</v>
      </c>
      <c r="O3" s="8" t="s">
        <v>58</v>
      </c>
      <c r="P3" s="8">
        <v>1</v>
      </c>
      <c r="Q3" s="8" t="s">
        <v>155</v>
      </c>
      <c r="R3" s="8" t="s">
        <v>58</v>
      </c>
    </row>
    <row r="4" spans="1:18" x14ac:dyDescent="0.2">
      <c r="J4" s="8">
        <v>2</v>
      </c>
      <c r="K4" s="8" t="s">
        <v>44</v>
      </c>
      <c r="L4" s="8">
        <v>2</v>
      </c>
      <c r="M4" s="8" t="s">
        <v>51</v>
      </c>
      <c r="N4" s="8">
        <v>2</v>
      </c>
      <c r="O4" s="8" t="s">
        <v>59</v>
      </c>
      <c r="P4" s="8">
        <v>2</v>
      </c>
      <c r="Q4" s="8" t="s">
        <v>298</v>
      </c>
      <c r="R4" s="8" t="s">
        <v>59</v>
      </c>
    </row>
    <row r="5" spans="1:18" x14ac:dyDescent="0.2">
      <c r="A5" s="40" t="str">
        <f>IF(A3=0,"",VLOOKUP(A3,$J$3:$K$11,2,0))</f>
        <v/>
      </c>
      <c r="B5" s="40" t="str">
        <f>IF(B3=0,"",IF(AND(B3=1,C3=0),"десять",IF(AND(B3=1,C3&gt;0),VLOOKUP(C3,N3:O11,2,0),VLOOKUP(B3,L3:M11,2,0))))</f>
        <v/>
      </c>
      <c r="C5" s="40" t="str">
        <f>IF(C3=0,"",IF(OR(B5=O3,B5=O4,B5=O5,B5=O6,B5=O7,B5=O8,B5=O9,B5=O10,B5=O11),"",VLOOKUP(C3,$P$3:$Q$11,2,0)))</f>
        <v/>
      </c>
      <c r="D5" s="40" t="str">
        <f>IF(D3=0,"",VLOOKUP(D3,$J$3:$K$11,2,0))</f>
        <v/>
      </c>
      <c r="E5" s="40" t="str">
        <f>IF(E3=0,"",IF(AND(E3=1,F3=0),"десять",IF(AND(E3=1,F3&gt;0),VLOOKUP(F3,N3:O11,2,0),VLOOKUP(E3,L3:M11,2,0))))</f>
        <v/>
      </c>
      <c r="F5" s="40" t="str">
        <f>IF(F3=0,"",IF(OR(E5=R3,E5=R4,E5=R5,E5=R6,E5=R7,E5=R8,E5=R9,E5=R10,E5=R11),"",VLOOKUP(F3,$P$3:$Q$11,2,0)))</f>
        <v/>
      </c>
      <c r="G5" s="40">
        <f>G3</f>
        <v>0</v>
      </c>
      <c r="H5" s="40">
        <f>H3</f>
        <v>0</v>
      </c>
      <c r="J5" s="8">
        <v>3</v>
      </c>
      <c r="K5" s="8" t="s">
        <v>17</v>
      </c>
      <c r="L5" s="8">
        <v>3</v>
      </c>
      <c r="M5" s="8" t="s">
        <v>52</v>
      </c>
      <c r="N5" s="8">
        <v>3</v>
      </c>
      <c r="O5" s="8" t="s">
        <v>60</v>
      </c>
      <c r="P5" s="8">
        <v>3</v>
      </c>
      <c r="Q5" s="8" t="s">
        <v>18</v>
      </c>
      <c r="R5" s="8" t="s">
        <v>60</v>
      </c>
    </row>
    <row r="6" spans="1:18" x14ac:dyDescent="0.2">
      <c r="J6" s="8">
        <v>4</v>
      </c>
      <c r="K6" s="8" t="s">
        <v>45</v>
      </c>
      <c r="L6" s="8">
        <v>4</v>
      </c>
      <c r="M6" s="8" t="s">
        <v>19</v>
      </c>
      <c r="N6" s="8">
        <v>4</v>
      </c>
      <c r="O6" s="8" t="s">
        <v>61</v>
      </c>
      <c r="P6" s="8">
        <v>4</v>
      </c>
      <c r="Q6" s="8" t="s">
        <v>67</v>
      </c>
      <c r="R6" s="8" t="s">
        <v>61</v>
      </c>
    </row>
    <row r="7" spans="1:18" x14ac:dyDescent="0.2">
      <c r="A7" s="40" t="str">
        <f>TRIM(IF(AND(A3=0,B3=0,C3=0),D5&amp;" "&amp;E5&amp;" "&amp;F5&amp;" руб. "&amp;G5&amp;H5&amp;" коп.",A5&amp;" "&amp;B5&amp;" "&amp;C5&amp;" тыс. "&amp;D5&amp;" "&amp;E5&amp;" "&amp;F5&amp;" руб. "&amp;G5&amp;H5&amp;" коп."))</f>
        <v>руб. 00 коп.</v>
      </c>
      <c r="J7" s="8">
        <v>5</v>
      </c>
      <c r="K7" s="8" t="s">
        <v>46</v>
      </c>
      <c r="L7" s="8">
        <v>5</v>
      </c>
      <c r="M7" s="8" t="s">
        <v>53</v>
      </c>
      <c r="N7" s="8">
        <v>5</v>
      </c>
      <c r="O7" s="8" t="s">
        <v>62</v>
      </c>
      <c r="P7" s="8">
        <v>5</v>
      </c>
      <c r="Q7" s="8" t="s">
        <v>68</v>
      </c>
      <c r="R7" s="8" t="s">
        <v>62</v>
      </c>
    </row>
    <row r="8" spans="1:18" x14ac:dyDescent="0.2">
      <c r="A8" s="40" t="str">
        <f>TRIM(IF(AND(A3=0,B3=0,C3=0),D5&amp;" "&amp;E5&amp;" "&amp;F5,A5&amp;" "&amp;B5&amp;" "&amp;C5&amp;" тыс. "&amp;D5&amp;" "&amp;E5&amp;" "&amp;F5))</f>
        <v/>
      </c>
      <c r="B8" s="40" t="str">
        <f>G5&amp;H5</f>
        <v>00</v>
      </c>
      <c r="J8" s="8">
        <v>6</v>
      </c>
      <c r="K8" s="8" t="s">
        <v>47</v>
      </c>
      <c r="L8" s="8">
        <v>6</v>
      </c>
      <c r="M8" s="8" t="s">
        <v>54</v>
      </c>
      <c r="N8" s="8">
        <v>6</v>
      </c>
      <c r="O8" s="8" t="s">
        <v>63</v>
      </c>
      <c r="P8" s="8">
        <v>6</v>
      </c>
      <c r="Q8" s="8" t="s">
        <v>69</v>
      </c>
      <c r="R8" s="8" t="s">
        <v>63</v>
      </c>
    </row>
    <row r="9" spans="1:18" x14ac:dyDescent="0.2">
      <c r="A9" s="40" t="str">
        <f>TRIM(IF(AND(A3=0,B3=0,C3=0),"",A5&amp;" "&amp;B5&amp;" "&amp;C5&amp;" тыс. "))</f>
        <v/>
      </c>
      <c r="J9" s="8">
        <v>7</v>
      </c>
      <c r="K9" s="8" t="s">
        <v>48</v>
      </c>
      <c r="L9" s="8">
        <v>7</v>
      </c>
      <c r="M9" s="8" t="s">
        <v>55</v>
      </c>
      <c r="N9" s="8">
        <v>7</v>
      </c>
      <c r="O9" s="8" t="s">
        <v>64</v>
      </c>
      <c r="P9" s="8">
        <v>7</v>
      </c>
      <c r="Q9" s="8" t="s">
        <v>70</v>
      </c>
      <c r="R9" s="8" t="s">
        <v>64</v>
      </c>
    </row>
    <row r="10" spans="1:18" x14ac:dyDescent="0.2">
      <c r="A10" s="40" t="str">
        <f>TRIM(D5&amp;" "&amp;E5&amp;" "&amp;F5)</f>
        <v/>
      </c>
      <c r="J10" s="8">
        <v>8</v>
      </c>
      <c r="K10" s="8" t="s">
        <v>49</v>
      </c>
      <c r="L10" s="8">
        <v>8</v>
      </c>
      <c r="M10" s="8" t="s">
        <v>56</v>
      </c>
      <c r="N10" s="8">
        <v>8</v>
      </c>
      <c r="O10" s="8" t="s">
        <v>65</v>
      </c>
      <c r="P10" s="8">
        <v>8</v>
      </c>
      <c r="Q10" s="8" t="s">
        <v>71</v>
      </c>
      <c r="R10" s="8" t="s">
        <v>65</v>
      </c>
    </row>
    <row r="11" spans="1:18" x14ac:dyDescent="0.2">
      <c r="J11" s="8">
        <v>9</v>
      </c>
      <c r="K11" s="8" t="s">
        <v>50</v>
      </c>
      <c r="L11" s="8">
        <v>9</v>
      </c>
      <c r="M11" s="8" t="s">
        <v>57</v>
      </c>
      <c r="N11" s="8">
        <v>9</v>
      </c>
      <c r="O11" s="8" t="s">
        <v>66</v>
      </c>
      <c r="P11" s="8">
        <v>9</v>
      </c>
      <c r="Q11" s="8" t="s">
        <v>72</v>
      </c>
      <c r="R11" s="8" t="s">
        <v>66</v>
      </c>
    </row>
  </sheetData>
  <sheetProtection formatCells="0" formatColumns="0" formatRow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5BD8581347AC458A7597B84AB3FB3B" ma:contentTypeVersion="11" ma:contentTypeDescription="Create a new document." ma:contentTypeScope="" ma:versionID="9dbb8492fb998feb4046189244fb908f">
  <xsd:schema xmlns:xsd="http://www.w3.org/2001/XMLSchema" xmlns:xs="http://www.w3.org/2001/XMLSchema" xmlns:p="http://schemas.microsoft.com/office/2006/metadata/properties" xmlns:ns3="92634fe0-e35c-4112-aeeb-cc4b669cce9e" xmlns:ns4="5591089a-5b19-4965-bbf4-64fcaf53e240" targetNamespace="http://schemas.microsoft.com/office/2006/metadata/properties" ma:root="true" ma:fieldsID="ea2c4fe3d46536c5b1464487ce3f9f2d" ns3:_="" ns4:_="">
    <xsd:import namespace="92634fe0-e35c-4112-aeeb-cc4b669cce9e"/>
    <xsd:import namespace="5591089a-5b19-4965-bbf4-64fcaf53e24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634fe0-e35c-4112-aeeb-cc4b669cce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91089a-5b19-4965-bbf4-64fcaf53e240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A393898-0499-4D45-BC07-A483E5E3244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2634fe0-e35c-4112-aeeb-cc4b669cce9e"/>
    <ds:schemaRef ds:uri="5591089a-5b19-4965-bbf4-64fcaf53e24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8B44FBE-59FD-4DBF-94AC-3FE2849C1EC5}">
  <ds:schemaRefs>
    <ds:schemaRef ds:uri="http://purl.org/dc/elements/1.1/"/>
    <ds:schemaRef ds:uri="http://www.w3.org/XML/1998/namespace"/>
    <ds:schemaRef ds:uri="92634fe0-e35c-4112-aeeb-cc4b669cce9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5591089a-5b19-4965-bbf4-64fcaf53e240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B81E0C0A-2129-466C-AEA9-C7642E36EA2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Инструкция</vt:lpstr>
      <vt:lpstr>Форма для заполнения</vt:lpstr>
      <vt:lpstr>Авансовый отчет</vt:lpstr>
      <vt:lpstr>Список работников</vt:lpstr>
      <vt:lpstr>Исходные данные</vt:lpstr>
      <vt:lpstr>Travel &amp; Expense Claim</vt:lpstr>
      <vt:lpstr>Upload</vt:lpstr>
      <vt:lpstr>Курсы валют</vt:lpstr>
      <vt:lpstr>Сумма прописью</vt:lpstr>
      <vt:lpstr>Cost_Center</vt:lpstr>
      <vt:lpstr>'Курсы валют'!currates</vt:lpstr>
      <vt:lpstr>EmployeesList</vt:lpstr>
      <vt:lpstr>ExpenseType</vt:lpstr>
      <vt:lpstr>ExpenseTypeTable</vt:lpstr>
      <vt:lpstr>Income</vt:lpstr>
      <vt:lpstr>IO</vt:lpstr>
      <vt:lpstr>PaymentType</vt:lpstr>
      <vt:lpstr>'Travel &amp; Expense Claim'!Print_Area</vt:lpstr>
      <vt:lpstr>'Авансовый отчет'!Print_Area</vt:lpstr>
      <vt:lpstr>Инструкция!Print_Area</vt:lpstr>
      <vt:lpstr>TaxCode</vt:lpstr>
      <vt:lpstr>TaxCodeTable</vt:lpstr>
      <vt:lpstr>YesNo</vt:lpstr>
      <vt:lpstr>YesNoTable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Mishura, Mikhail /BDF MOW</dc:creator>
  <cp:lastModifiedBy>Konkov, Anton /BDF MOW</cp:lastModifiedBy>
  <cp:lastPrinted>2019-08-05T11:53:02Z</cp:lastPrinted>
  <dcterms:created xsi:type="dcterms:W3CDTF">2010-12-09T09:26:31Z</dcterms:created>
  <dcterms:modified xsi:type="dcterms:W3CDTF">2020-11-18T13:20:56Z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0x0101000F5BD8581347AC458A7597B84AB3FB3B</vt:lpwstr>
  </property>
</Properties>
</file>